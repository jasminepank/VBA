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avsuta-my.sharepoint.com/personal/jasmine_pankratz_mavs_uta_edu/Documents/aCLASSES/Fa 2025/IE 4303 Production and Inventory Control/Project 1/"/>
    </mc:Choice>
  </mc:AlternateContent>
  <xr:revisionPtr revIDLastSave="122" documentId="8_{5921E58C-F79A-47DD-9C92-88D2812F962E}" xr6:coauthVersionLast="47" xr6:coauthVersionMax="47" xr10:uidLastSave="{0FB8F925-0452-4EE2-A04B-168E205D7681}"/>
  <bookViews>
    <workbookView xWindow="19090" yWindow="-110" windowWidth="19420" windowHeight="10300" xr2:uid="{7521424B-D8F4-4B2D-B969-CF97D040AD58}"/>
  </bookViews>
  <sheets>
    <sheet name="sim_tool" sheetId="1" r:id="rId1"/>
    <sheet name="Summary" sheetId="35" r:id="rId2"/>
    <sheet name="Base Run" sheetId="23" r:id="rId3"/>
    <sheet name="Run 2" sheetId="24" r:id="rId4"/>
    <sheet name="Run 3" sheetId="25" r:id="rId5"/>
    <sheet name="Run 4" sheetId="26" r:id="rId6"/>
    <sheet name="Run 5" sheetId="27" r:id="rId7"/>
    <sheet name="Run 6" sheetId="28" r:id="rId8"/>
    <sheet name="Run 7" sheetId="30" r:id="rId9"/>
    <sheet name="Run 8" sheetId="34" r:id="rId10"/>
    <sheet name="Run 9" sheetId="3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4" l="1"/>
  <c r="B33" i="34"/>
  <c r="B32" i="34"/>
  <c r="D31" i="34"/>
  <c r="C31" i="34"/>
  <c r="B31" i="34"/>
  <c r="D30" i="34"/>
  <c r="C30" i="34"/>
  <c r="B30" i="34"/>
  <c r="B33" i="33"/>
  <c r="B32" i="33"/>
  <c r="D31" i="33"/>
  <c r="C31" i="33"/>
  <c r="B31" i="33"/>
  <c r="D30" i="33"/>
  <c r="C30" i="33"/>
  <c r="B30" i="33"/>
  <c r="B33" i="30"/>
  <c r="B32" i="30"/>
  <c r="D31" i="30"/>
  <c r="C31" i="30"/>
  <c r="B31" i="30"/>
  <c r="D30" i="30"/>
  <c r="C30" i="30"/>
  <c r="B30" i="30"/>
  <c r="B33" i="28"/>
  <c r="B32" i="28"/>
  <c r="D31" i="28"/>
  <c r="C31" i="28"/>
  <c r="B31" i="28"/>
  <c r="D30" i="28"/>
  <c r="C30" i="28"/>
  <c r="B30" i="28"/>
  <c r="B33" i="27"/>
  <c r="B32" i="27"/>
  <c r="D31" i="27"/>
  <c r="C31" i="27"/>
  <c r="B31" i="27"/>
  <c r="D30" i="27"/>
  <c r="C30" i="27"/>
  <c r="B30" i="27"/>
  <c r="B33" i="26"/>
  <c r="B32" i="26"/>
  <c r="D31" i="26"/>
  <c r="C31" i="26"/>
  <c r="B31" i="26"/>
  <c r="D30" i="26"/>
  <c r="C30" i="26"/>
  <c r="B30" i="26"/>
  <c r="B33" i="25"/>
  <c r="B32" i="25"/>
  <c r="D31" i="25"/>
  <c r="C31" i="25"/>
  <c r="B31" i="25"/>
  <c r="D30" i="25"/>
  <c r="C30" i="25"/>
  <c r="B30" i="25"/>
  <c r="B33" i="24"/>
  <c r="B33" i="1"/>
  <c r="B32" i="1"/>
  <c r="B32" i="24"/>
  <c r="D31" i="24"/>
  <c r="C31" i="24"/>
  <c r="B31" i="24"/>
  <c r="D30" i="24"/>
  <c r="C30" i="24"/>
  <c r="B30" i="24"/>
  <c r="D27" i="23"/>
  <c r="C27" i="23"/>
  <c r="B27" i="23"/>
  <c r="D26" i="23"/>
  <c r="C26" i="23"/>
  <c r="B26" i="23"/>
  <c r="C31" i="1"/>
  <c r="D31" i="1"/>
  <c r="B31" i="1"/>
  <c r="D30" i="1"/>
  <c r="C30" i="1"/>
  <c r="B30" i="1"/>
</calcChain>
</file>

<file path=xl/sharedStrings.xml><?xml version="1.0" encoding="utf-8"?>
<sst xmlns="http://schemas.openxmlformats.org/spreadsheetml/2006/main" count="3677" uniqueCount="76">
  <si>
    <t>replenishment quantity received</t>
  </si>
  <si>
    <t>place replenishment order?</t>
  </si>
  <si>
    <t>Beans</t>
  </si>
  <si>
    <t>Milk</t>
  </si>
  <si>
    <t>Cereal</t>
  </si>
  <si>
    <t>starting space allocation</t>
  </si>
  <si>
    <t>ending on-hand inventory</t>
  </si>
  <si>
    <t>starting on-hand inventory</t>
  </si>
  <si>
    <t>receive replenishment order?</t>
  </si>
  <si>
    <t>Q</t>
  </si>
  <si>
    <t xml:space="preserve">r </t>
  </si>
  <si>
    <t>Weekly demand (pallets)</t>
  </si>
  <si>
    <t>Unit purchase cost ($/pallet)</t>
  </si>
  <si>
    <t>Ordering cost ($/order)</t>
  </si>
  <si>
    <r>
      <t>Space required per pallet (ft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</si>
  <si>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Vendor lead time (weeks)</t>
  </si>
  <si>
    <t>Decision Variables</t>
  </si>
  <si>
    <t>Input Parameters</t>
  </si>
  <si>
    <t>Starting on-hand inventory (pallets)</t>
  </si>
  <si>
    <t>Output Metrics</t>
  </si>
  <si>
    <t>Total number of weeks allowable space exceeded</t>
  </si>
  <si>
    <t>Total Space Needed</t>
  </si>
  <si>
    <t>N</t>
  </si>
  <si>
    <t>Y</t>
  </si>
  <si>
    <t>Total ordering cost</t>
  </si>
  <si>
    <t>Total annual inventory cost</t>
  </si>
  <si>
    <t>Total Ending Inventory</t>
  </si>
  <si>
    <t>Total orders received</t>
  </si>
  <si>
    <t>Total pallets purchased</t>
  </si>
  <si>
    <t>Total purchasing cost</t>
  </si>
  <si>
    <t>Total holding cost</t>
  </si>
  <si>
    <t>All Items</t>
  </si>
  <si>
    <t>Total ending inventory</t>
  </si>
  <si>
    <t>Q = sqrt((2*A*D)/h)</t>
  </si>
  <si>
    <t>r = D*l</t>
  </si>
  <si>
    <t>Run 2 Q* values</t>
  </si>
  <si>
    <t>Run 2 r* values</t>
  </si>
  <si>
    <t>Calculated Q* and r* - Base Run</t>
  </si>
  <si>
    <t>Comparison to Base Run with Q* values</t>
  </si>
  <si>
    <t>Base Run r* values</t>
  </si>
  <si>
    <t>Weeks exceeded 2500 sqft</t>
  </si>
  <si>
    <t>Weeks insufficient inventory for demand</t>
  </si>
  <si>
    <t>3*D</t>
  </si>
  <si>
    <t>4*D</t>
  </si>
  <si>
    <t>r</t>
  </si>
  <si>
    <t>Difference in # weeks space exceeded (Current-Base Runs)</t>
  </si>
  <si>
    <t>Difference in Y(Q) (Current-Base Runs)</t>
  </si>
  <si>
    <t>2*D</t>
  </si>
  <si>
    <t>D*l</t>
  </si>
  <si>
    <t>D*l+1</t>
  </si>
  <si>
    <t>D*l +1</t>
  </si>
  <si>
    <t>181 milk pallets short of yearly demand 1150</t>
  </si>
  <si>
    <t>15.7 % short</t>
  </si>
  <si>
    <t>Total Inventory Cost</t>
  </si>
  <si>
    <t>Base Run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</si>
  <si>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</si>
  <si>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</si>
  <si>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</si>
  <si>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</si>
  <si>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</si>
  <si>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</si>
  <si>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</si>
  <si>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</si>
  <si>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Total Order Costs</t>
  </si>
  <si>
    <t>Total Purchase Costs</t>
  </si>
  <si>
    <t>Total Holding Costs</t>
  </si>
  <si>
    <t>Weeks Space Exceeded</t>
  </si>
  <si>
    <t>Q Beans</t>
  </si>
  <si>
    <t>Q Milk</t>
  </si>
  <si>
    <t>Q Cereal</t>
  </si>
  <si>
    <t>r Beans</t>
  </si>
  <si>
    <t>r Milk</t>
  </si>
  <si>
    <t>r Cereal</t>
  </si>
  <si>
    <t>Total Orders Received</t>
  </si>
  <si>
    <t>Year End Totals</t>
  </si>
  <si>
    <t>Total Pallets Purchased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</si>
</sst>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2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color rgb="FFFF0000"/>
      <name val="Calibri"/>
      <family val="2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74">
    <xf numFmtId="0" fontId="0" fillId="0" borderId="0" xfId="0"/>
    <xf numFmtId="0" fontId="1" fillId="0" borderId="0" xfId="0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0" borderId="5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1" fontId="1" fillId="0" borderId="4" xfId="0" applyNumberFormat="1" applyFont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 wrapText="1"/>
    </xf>
    <xf numFmtId="0" fontId="1" fillId="0" borderId="8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 wrapText="1"/>
    </xf>
    <xf numFmtId="0" fontId="1" fillId="0" borderId="1" xfId="0" applyFont="1" applyBorder="1" applyAlignment="1">
      <alignment horizontal="right"/>
    </xf>
    <xf numFmtId="0" fontId="4" fillId="0" borderId="10" xfId="0" applyFont="1" applyBorder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4" fillId="0" borderId="10" xfId="0" applyFont="1" applyBorder="1" applyAlignment="1">
      <alignment horizontal="right"/>
    </xf>
    <xf numFmtId="164" fontId="1" fillId="0" borderId="1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/>
    </xf>
    <xf numFmtId="3" fontId="1" fillId="0" borderId="1" xfId="1" applyNumberFormat="1" applyFont="1" applyBorder="1" applyAlignment="1">
      <alignment horizontal="center" vertical="center" wrapText="1"/>
    </xf>
    <xf numFmtId="3" fontId="1" fillId="0" borderId="1" xfId="1" applyNumberFormat="1" applyFont="1" applyBorder="1" applyAlignment="1">
      <alignment horizontal="center" vertical="center"/>
    </xf>
    <xf numFmtId="3" fontId="1" fillId="0" borderId="2" xfId="1" applyNumberFormat="1" applyFont="1" applyBorder="1" applyAlignment="1">
      <alignment horizontal="center" vertical="center"/>
    </xf>
    <xf numFmtId="0" fontId="1" fillId="0" borderId="0" xfId="0" applyFont="1"/>
    <xf numFmtId="1" fontId="1" fillId="0" borderId="0" xfId="0" applyNumberFormat="1" applyFont="1"/>
    <xf numFmtId="0" fontId="4" fillId="0" borderId="0" xfId="0" applyFon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7" borderId="0" xfId="0" applyFont="1" applyFill="1"/>
    <xf numFmtId="0" fontId="8" fillId="0" borderId="0" xfId="0" applyFont="1"/>
    <xf numFmtId="0" fontId="4" fillId="0" borderId="1" xfId="0" applyFont="1" applyBorder="1" applyAlignment="1">
      <alignment horizontal="center"/>
    </xf>
    <xf numFmtId="3" fontId="1" fillId="0" borderId="1" xfId="1" applyNumberFormat="1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1" xfId="0" applyFont="1" applyBorder="1"/>
    <xf numFmtId="0" fontId="1" fillId="6" borderId="0" xfId="0" applyFont="1" applyFill="1"/>
    <xf numFmtId="0" fontId="1" fillId="0" borderId="0" xfId="0" applyFont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4" fontId="1" fillId="0" borderId="0" xfId="0" applyNumberFormat="1" applyFont="1"/>
    <xf numFmtId="0" fontId="4" fillId="0" borderId="0" xfId="0" applyFont="1" applyAlignment="1">
      <alignment horizontal="right"/>
    </xf>
    <xf numFmtId="3" fontId="1" fillId="0" borderId="0" xfId="0" applyNumberFormat="1" applyFont="1"/>
    <xf numFmtId="0" fontId="9" fillId="0" borderId="0" xfId="0" applyFont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0" fillId="0" borderId="7" xfId="0" applyBorder="1"/>
    <xf numFmtId="164" fontId="0" fillId="0" borderId="0" xfId="0" applyNumberFormat="1"/>
    <xf numFmtId="164" fontId="0" fillId="0" borderId="0" xfId="0" quotePrefix="1" applyNumberFormat="1"/>
    <xf numFmtId="3" fontId="1" fillId="0" borderId="8" xfId="0" applyNumberFormat="1" applyFont="1" applyBorder="1" applyAlignment="1">
      <alignment horizontal="center" vertical="center"/>
    </xf>
    <xf numFmtId="3" fontId="1" fillId="0" borderId="9" xfId="0" applyNumberFormat="1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7" xfId="0" applyFont="1" applyFill="1" applyBorder="1" applyAlignment="1">
      <alignment horizont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5" borderId="0" xfId="0" applyFont="1" applyFill="1" applyAlignment="1">
      <alignment horizontal="center" vertical="top" wrapText="1"/>
    </xf>
    <xf numFmtId="3" fontId="1" fillId="0" borderId="8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3" fontId="1" fillId="0" borderId="2" xfId="1" applyNumberFormat="1" applyFont="1" applyBorder="1" applyAlignment="1">
      <alignment horizontal="center"/>
    </xf>
    <xf numFmtId="0" fontId="1" fillId="5" borderId="6" xfId="0" applyFont="1" applyFill="1" applyBorder="1" applyAlignment="1">
      <alignment horizontal="center" vertical="top" wrapText="1"/>
    </xf>
    <xf numFmtId="0" fontId="1" fillId="4" borderId="6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7" xfId="0" applyFont="1" applyFill="1" applyBorder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Cost and Space</a:t>
            </a:r>
            <a:r>
              <a:rPr lang="en-US" baseline="0"/>
              <a:t> Exceeded by Run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Summary!$A$2:$A$10</c:f>
              <c:strCache>
                <c:ptCount val="9"/>
                <c:pt idx="0">
                  <c:v>Base Run</c:v>
                </c:pt>
                <c:pt idx="1">
                  <c:v>Run 2</c:v>
                </c:pt>
                <c:pt idx="2">
                  <c:v>Run 3</c:v>
                </c:pt>
                <c:pt idx="3">
                  <c:v>Run 4</c:v>
                </c:pt>
                <c:pt idx="4">
                  <c:v>Run 5</c:v>
                </c:pt>
                <c:pt idx="5">
                  <c:v>Run 6</c:v>
                </c:pt>
                <c:pt idx="6">
                  <c:v>Run 7</c:v>
                </c:pt>
                <c:pt idx="7">
                  <c:v>Run 8</c:v>
                </c:pt>
                <c:pt idx="8">
                  <c:v>Run 9</c:v>
                </c:pt>
              </c:strCache>
            </c:strRef>
          </c:cat>
          <c:val>
            <c:numRef>
              <c:f>Summary!$B$2:$B$10</c:f>
              <c:numCache>
                <c:formatCode>"$"#,##0.00</c:formatCode>
                <c:ptCount val="9"/>
                <c:pt idx="0">
                  <c:v>507911.75</c:v>
                </c:pt>
                <c:pt idx="1">
                  <c:v>547882.69999999995</c:v>
                </c:pt>
                <c:pt idx="2">
                  <c:v>548116.69999999995</c:v>
                </c:pt>
                <c:pt idx="3">
                  <c:v>548297.5</c:v>
                </c:pt>
                <c:pt idx="4">
                  <c:v>548381.5</c:v>
                </c:pt>
                <c:pt idx="5">
                  <c:v>548747.5</c:v>
                </c:pt>
                <c:pt idx="6">
                  <c:v>523090.75</c:v>
                </c:pt>
                <c:pt idx="7">
                  <c:v>484723.75</c:v>
                </c:pt>
                <c:pt idx="8">
                  <c:v>548203.5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4-46F8-A1DC-23C7DEF4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6495231"/>
        <c:axId val="1296495711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Summary!$A$2:$A$10</c:f>
              <c:strCache>
                <c:ptCount val="9"/>
                <c:pt idx="0">
                  <c:v>Base Run</c:v>
                </c:pt>
                <c:pt idx="1">
                  <c:v>Run 2</c:v>
                </c:pt>
                <c:pt idx="2">
                  <c:v>Run 3</c:v>
                </c:pt>
                <c:pt idx="3">
                  <c:v>Run 4</c:v>
                </c:pt>
                <c:pt idx="4">
                  <c:v>Run 5</c:v>
                </c:pt>
                <c:pt idx="5">
                  <c:v>Run 6</c:v>
                </c:pt>
                <c:pt idx="6">
                  <c:v>Run 7</c:v>
                </c:pt>
                <c:pt idx="7">
                  <c:v>Run 8</c:v>
                </c:pt>
                <c:pt idx="8">
                  <c:v>Run 9</c:v>
                </c:pt>
              </c:strCache>
            </c:strRef>
          </c:cat>
          <c:val>
            <c:numRef>
              <c:f>Summary!$I$2:$I$10</c:f>
              <c:numCache>
                <c:formatCode>General</c:formatCode>
                <c:ptCount val="9"/>
                <c:pt idx="0">
                  <c:v>13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C4-46F8-A1DC-23C7DEF4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2504527"/>
        <c:axId val="1292504047"/>
      </c:lineChart>
      <c:catAx>
        <c:axId val="129649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495711"/>
        <c:crosses val="autoZero"/>
        <c:auto val="1"/>
        <c:lblAlgn val="ctr"/>
        <c:lblOffset val="100"/>
        <c:noMultiLvlLbl val="0"/>
      </c:catAx>
      <c:valAx>
        <c:axId val="129649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Annual Inventory</a:t>
                </a:r>
                <a:r>
                  <a:rPr lang="en-US" baseline="0"/>
                  <a:t> Cost (Blue)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495231"/>
        <c:crosses val="autoZero"/>
        <c:crossBetween val="between"/>
      </c:valAx>
      <c:valAx>
        <c:axId val="12925040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  <a:r>
                  <a:rPr lang="en-US" baseline="0"/>
                  <a:t> Space Exceeded (Orange)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504527"/>
        <c:crosses val="max"/>
        <c:crossBetween val="between"/>
      </c:valAx>
      <c:catAx>
        <c:axId val="129250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25040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</xdr:colOff>
          <xdr:row>23</xdr:row>
          <xdr:rowOff>31750</xdr:rowOff>
        </xdr:from>
        <xdr:to>
          <xdr:col>0</xdr:col>
          <xdr:colOff>2616200</xdr:colOff>
          <xdr:row>25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3073400</xdr:colOff>
          <xdr:row>23</xdr:row>
          <xdr:rowOff>38100</xdr:rowOff>
        </xdr:from>
        <xdr:to>
          <xdr:col>2</xdr:col>
          <xdr:colOff>660400</xdr:colOff>
          <xdr:row>25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11</xdr:row>
      <xdr:rowOff>127000</xdr:rowOff>
    </xdr:from>
    <xdr:to>
      <xdr:col>5</xdr:col>
      <xdr:colOff>835025</xdr:colOff>
      <xdr:row>26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661128-9611-5774-E9C5-780A81A930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2044-A529-43B6-BDBA-3D240DC78F79}">
  <sheetPr codeName="Sheet1"/>
  <dimension ref="A1:Z53"/>
  <sheetViews>
    <sheetView tabSelected="1" zoomScale="90" zoomScaleNormal="90" workbookViewId="0">
      <selection activeCell="B3" sqref="B3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105</v>
      </c>
      <c r="C3" s="16">
        <v>86</v>
      </c>
      <c r="D3" s="16">
        <v>28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23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24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22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23</v>
      </c>
      <c r="N5" s="29">
        <v>86</v>
      </c>
      <c r="O5" s="29">
        <v>87</v>
      </c>
      <c r="P5" s="29">
        <v>1044</v>
      </c>
      <c r="Q5" s="29">
        <v>64</v>
      </c>
      <c r="R5" s="33" t="s">
        <v>22</v>
      </c>
      <c r="S5" s="32" t="s">
        <v>23</v>
      </c>
      <c r="T5" s="29">
        <v>28</v>
      </c>
      <c r="U5" s="29">
        <v>28</v>
      </c>
      <c r="V5" s="29">
        <v>504</v>
      </c>
      <c r="W5" s="29">
        <v>12</v>
      </c>
      <c r="X5" s="33" t="s">
        <v>23</v>
      </c>
      <c r="Y5" s="29">
        <v>1881</v>
      </c>
      <c r="Z5" s="29">
        <v>76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105</v>
      </c>
      <c r="I6" s="29">
        <v>105</v>
      </c>
      <c r="J6" s="29">
        <v>945</v>
      </c>
      <c r="K6" s="29">
        <v>68</v>
      </c>
      <c r="L6" s="33" t="s">
        <v>23</v>
      </c>
      <c r="M6" s="32" t="s">
        <v>22</v>
      </c>
      <c r="N6" s="29">
        <v>0</v>
      </c>
      <c r="O6" s="29">
        <v>64</v>
      </c>
      <c r="P6" s="29">
        <v>768</v>
      </c>
      <c r="Q6" s="29">
        <v>41</v>
      </c>
      <c r="R6" s="33" t="s">
        <v>22</v>
      </c>
      <c r="S6" s="32" t="s">
        <v>22</v>
      </c>
      <c r="T6" s="29">
        <v>0</v>
      </c>
      <c r="U6" s="34">
        <v>12</v>
      </c>
      <c r="V6" s="29">
        <v>216</v>
      </c>
      <c r="W6" s="29">
        <v>0</v>
      </c>
      <c r="X6" s="33" t="s">
        <v>22</v>
      </c>
      <c r="Y6" s="29">
        <v>1929</v>
      </c>
      <c r="Z6" s="29">
        <v>109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68</v>
      </c>
      <c r="J7" s="29">
        <v>612</v>
      </c>
      <c r="K7" s="29">
        <v>31</v>
      </c>
      <c r="L7" s="33" t="s">
        <v>22</v>
      </c>
      <c r="M7" s="32" t="s">
        <v>22</v>
      </c>
      <c r="N7" s="29">
        <v>0</v>
      </c>
      <c r="O7" s="29">
        <v>41</v>
      </c>
      <c r="P7" s="29">
        <v>492</v>
      </c>
      <c r="Q7" s="29">
        <v>18</v>
      </c>
      <c r="R7" s="33" t="s">
        <v>23</v>
      </c>
      <c r="S7" s="32" t="s">
        <v>23</v>
      </c>
      <c r="T7" s="29">
        <v>28</v>
      </c>
      <c r="U7" s="29">
        <v>28</v>
      </c>
      <c r="V7" s="29">
        <v>504</v>
      </c>
      <c r="W7" s="29">
        <v>12</v>
      </c>
      <c r="X7" s="33" t="s">
        <v>23</v>
      </c>
      <c r="Y7" s="29">
        <v>1608</v>
      </c>
      <c r="Z7" s="29">
        <v>61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34">
        <v>31</v>
      </c>
      <c r="J8" s="29">
        <v>279</v>
      </c>
      <c r="K8" s="29">
        <v>0</v>
      </c>
      <c r="L8" s="33" t="s">
        <v>22</v>
      </c>
      <c r="M8" s="32" t="s">
        <v>22</v>
      </c>
      <c r="N8" s="29">
        <v>0</v>
      </c>
      <c r="O8" s="34">
        <v>18</v>
      </c>
      <c r="P8" s="29">
        <v>216</v>
      </c>
      <c r="Q8" s="29">
        <v>0</v>
      </c>
      <c r="R8" s="33" t="s">
        <v>22</v>
      </c>
      <c r="S8" s="32" t="s">
        <v>22</v>
      </c>
      <c r="T8" s="29">
        <v>0</v>
      </c>
      <c r="U8" s="34">
        <v>12</v>
      </c>
      <c r="V8" s="29">
        <v>216</v>
      </c>
      <c r="W8" s="29">
        <v>0</v>
      </c>
      <c r="X8" s="33" t="s">
        <v>22</v>
      </c>
      <c r="Y8" s="29">
        <v>711</v>
      </c>
      <c r="Z8" s="29">
        <v>0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23</v>
      </c>
      <c r="H9" s="29">
        <v>105</v>
      </c>
      <c r="I9" s="29">
        <v>105</v>
      </c>
      <c r="J9" s="29">
        <v>945</v>
      </c>
      <c r="K9" s="29">
        <v>68</v>
      </c>
      <c r="L9" s="33" t="s">
        <v>23</v>
      </c>
      <c r="M9" s="32" t="s">
        <v>23</v>
      </c>
      <c r="N9" s="29">
        <v>86</v>
      </c>
      <c r="O9" s="29">
        <v>86</v>
      </c>
      <c r="P9" s="29">
        <v>1032</v>
      </c>
      <c r="Q9" s="29">
        <v>63</v>
      </c>
      <c r="R9" s="33" t="s">
        <v>22</v>
      </c>
      <c r="S9" s="32" t="s">
        <v>23</v>
      </c>
      <c r="T9" s="29">
        <v>28</v>
      </c>
      <c r="U9" s="29">
        <v>28</v>
      </c>
      <c r="V9" s="29">
        <v>504</v>
      </c>
      <c r="W9" s="29">
        <v>12</v>
      </c>
      <c r="X9" s="33" t="s">
        <v>23</v>
      </c>
      <c r="Y9" s="29">
        <v>2481</v>
      </c>
      <c r="Z9" s="29">
        <v>143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29">
        <v>68</v>
      </c>
      <c r="J10" s="29">
        <v>612</v>
      </c>
      <c r="K10" s="29">
        <v>31</v>
      </c>
      <c r="L10" s="33" t="s">
        <v>22</v>
      </c>
      <c r="M10" s="32" t="s">
        <v>22</v>
      </c>
      <c r="N10" s="29">
        <v>0</v>
      </c>
      <c r="O10" s="29">
        <v>63</v>
      </c>
      <c r="P10" s="29">
        <v>756</v>
      </c>
      <c r="Q10" s="29">
        <v>40</v>
      </c>
      <c r="R10" s="33" t="s">
        <v>22</v>
      </c>
      <c r="S10" s="32" t="s">
        <v>22</v>
      </c>
      <c r="T10" s="29">
        <v>0</v>
      </c>
      <c r="U10" s="34">
        <v>12</v>
      </c>
      <c r="V10" s="29">
        <v>216</v>
      </c>
      <c r="W10" s="29">
        <v>0</v>
      </c>
      <c r="X10" s="33" t="s">
        <v>22</v>
      </c>
      <c r="Y10" s="29">
        <v>1584</v>
      </c>
      <c r="Z10" s="29">
        <v>71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34">
        <v>31</v>
      </c>
      <c r="J11" s="29">
        <v>279</v>
      </c>
      <c r="K11" s="29">
        <v>0</v>
      </c>
      <c r="L11" s="33" t="s">
        <v>22</v>
      </c>
      <c r="M11" s="32" t="s">
        <v>22</v>
      </c>
      <c r="N11" s="29">
        <v>0</v>
      </c>
      <c r="O11" s="29">
        <v>40</v>
      </c>
      <c r="P11" s="29">
        <v>480</v>
      </c>
      <c r="Q11" s="29">
        <v>17</v>
      </c>
      <c r="R11" s="33" t="s">
        <v>23</v>
      </c>
      <c r="S11" s="32" t="s">
        <v>23</v>
      </c>
      <c r="T11" s="29">
        <v>28</v>
      </c>
      <c r="U11" s="29">
        <v>28</v>
      </c>
      <c r="V11" s="29">
        <v>504</v>
      </c>
      <c r="W11" s="29">
        <v>12</v>
      </c>
      <c r="X11" s="33" t="s">
        <v>23</v>
      </c>
      <c r="Y11" s="29">
        <v>1263</v>
      </c>
      <c r="Z11" s="29">
        <v>29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23</v>
      </c>
      <c r="H12" s="29">
        <v>105</v>
      </c>
      <c r="I12" s="29">
        <v>105</v>
      </c>
      <c r="J12" s="29">
        <v>945</v>
      </c>
      <c r="K12" s="29">
        <v>68</v>
      </c>
      <c r="L12" s="33" t="s">
        <v>23</v>
      </c>
      <c r="M12" s="32" t="s">
        <v>22</v>
      </c>
      <c r="N12" s="29">
        <v>0</v>
      </c>
      <c r="O12" s="34">
        <v>17</v>
      </c>
      <c r="P12" s="29">
        <v>204</v>
      </c>
      <c r="Q12" s="29">
        <v>0</v>
      </c>
      <c r="R12" s="33" t="s">
        <v>22</v>
      </c>
      <c r="S12" s="32" t="s">
        <v>22</v>
      </c>
      <c r="T12" s="29">
        <v>0</v>
      </c>
      <c r="U12" s="34">
        <v>12</v>
      </c>
      <c r="V12" s="29">
        <v>216</v>
      </c>
      <c r="W12" s="29">
        <v>0</v>
      </c>
      <c r="X12" s="33" t="s">
        <v>22</v>
      </c>
      <c r="Y12" s="29">
        <v>1365</v>
      </c>
      <c r="Z12" s="29">
        <v>68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68</v>
      </c>
      <c r="J13" s="29">
        <v>612</v>
      </c>
      <c r="K13" s="29">
        <v>31</v>
      </c>
      <c r="L13" s="33" t="s">
        <v>22</v>
      </c>
      <c r="M13" s="32" t="s">
        <v>23</v>
      </c>
      <c r="N13" s="29">
        <v>86</v>
      </c>
      <c r="O13" s="29">
        <v>86</v>
      </c>
      <c r="P13" s="29">
        <v>1032</v>
      </c>
      <c r="Q13" s="29">
        <v>63</v>
      </c>
      <c r="R13" s="33" t="s">
        <v>22</v>
      </c>
      <c r="S13" s="32" t="s">
        <v>23</v>
      </c>
      <c r="T13" s="29">
        <v>28</v>
      </c>
      <c r="U13" s="29">
        <v>28</v>
      </c>
      <c r="V13" s="29">
        <v>504</v>
      </c>
      <c r="W13" s="29">
        <v>12</v>
      </c>
      <c r="X13" s="33" t="s">
        <v>23</v>
      </c>
      <c r="Y13" s="29">
        <v>2148</v>
      </c>
      <c r="Z13" s="29">
        <v>106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34">
        <v>31</v>
      </c>
      <c r="J14" s="29">
        <v>279</v>
      </c>
      <c r="K14" s="29">
        <v>0</v>
      </c>
      <c r="L14" s="33" t="s">
        <v>22</v>
      </c>
      <c r="M14" s="32" t="s">
        <v>22</v>
      </c>
      <c r="N14" s="29">
        <v>0</v>
      </c>
      <c r="O14" s="29">
        <v>63</v>
      </c>
      <c r="P14" s="29">
        <v>756</v>
      </c>
      <c r="Q14" s="29">
        <v>40</v>
      </c>
      <c r="R14" s="33" t="s">
        <v>22</v>
      </c>
      <c r="S14" s="32" t="s">
        <v>22</v>
      </c>
      <c r="T14" s="29">
        <v>0</v>
      </c>
      <c r="U14" s="34">
        <v>12</v>
      </c>
      <c r="V14" s="29">
        <v>216</v>
      </c>
      <c r="W14" s="29">
        <v>0</v>
      </c>
      <c r="X14" s="33" t="s">
        <v>22</v>
      </c>
      <c r="Y14" s="29">
        <v>1251</v>
      </c>
      <c r="Z14" s="29">
        <v>40</v>
      </c>
    </row>
    <row r="15" spans="1:26" ht="15" thickBot="1" x14ac:dyDescent="0.4">
      <c r="A15" s="19" t="s">
        <v>28</v>
      </c>
      <c r="B15" s="26">
        <v>1680</v>
      </c>
      <c r="C15" s="26">
        <v>1032</v>
      </c>
      <c r="D15" s="26">
        <v>672</v>
      </c>
      <c r="E15" s="37">
        <v>3384</v>
      </c>
      <c r="F15" s="2">
        <v>13</v>
      </c>
      <c r="G15" s="32" t="s">
        <v>23</v>
      </c>
      <c r="H15" s="29">
        <v>105</v>
      </c>
      <c r="I15" s="29">
        <v>105</v>
      </c>
      <c r="J15" s="29">
        <v>945</v>
      </c>
      <c r="K15" s="29">
        <v>68</v>
      </c>
      <c r="L15" s="33" t="s">
        <v>23</v>
      </c>
      <c r="M15" s="32" t="s">
        <v>22</v>
      </c>
      <c r="N15" s="29">
        <v>0</v>
      </c>
      <c r="O15" s="29">
        <v>40</v>
      </c>
      <c r="P15" s="29">
        <v>480</v>
      </c>
      <c r="Q15" s="29">
        <v>17</v>
      </c>
      <c r="R15" s="33" t="s">
        <v>23</v>
      </c>
      <c r="S15" s="32" t="s">
        <v>23</v>
      </c>
      <c r="T15" s="29">
        <v>28</v>
      </c>
      <c r="U15" s="29">
        <v>28</v>
      </c>
      <c r="V15" s="29">
        <v>504</v>
      </c>
      <c r="W15" s="29">
        <v>12</v>
      </c>
      <c r="X15" s="33" t="s">
        <v>23</v>
      </c>
      <c r="Y15" s="29">
        <v>1929</v>
      </c>
      <c r="Z15" s="29">
        <v>97</v>
      </c>
    </row>
    <row r="16" spans="1:26" ht="15" thickBot="1" x14ac:dyDescent="0.4">
      <c r="A16" s="18" t="s">
        <v>27</v>
      </c>
      <c r="B16" s="27">
        <v>16</v>
      </c>
      <c r="C16" s="27">
        <v>12</v>
      </c>
      <c r="D16" s="28">
        <v>24</v>
      </c>
      <c r="E16" s="37">
        <v>52</v>
      </c>
      <c r="F16" s="2">
        <v>14</v>
      </c>
      <c r="G16" s="32" t="s">
        <v>22</v>
      </c>
      <c r="H16" s="29">
        <v>0</v>
      </c>
      <c r="I16" s="29">
        <v>68</v>
      </c>
      <c r="J16" s="29">
        <v>612</v>
      </c>
      <c r="K16" s="29">
        <v>31</v>
      </c>
      <c r="L16" s="33" t="s">
        <v>22</v>
      </c>
      <c r="M16" s="32" t="s">
        <v>22</v>
      </c>
      <c r="N16" s="29">
        <v>0</v>
      </c>
      <c r="O16" s="34">
        <v>17</v>
      </c>
      <c r="P16" s="29">
        <v>204</v>
      </c>
      <c r="Q16" s="29">
        <v>0</v>
      </c>
      <c r="R16" s="33" t="s">
        <v>22</v>
      </c>
      <c r="S16" s="32" t="s">
        <v>22</v>
      </c>
      <c r="T16" s="29">
        <v>0</v>
      </c>
      <c r="U16" s="34">
        <v>12</v>
      </c>
      <c r="V16" s="29">
        <v>216</v>
      </c>
      <c r="W16" s="29">
        <v>0</v>
      </c>
      <c r="X16" s="33" t="s">
        <v>22</v>
      </c>
      <c r="Y16" s="29">
        <v>1032</v>
      </c>
      <c r="Z16" s="29">
        <v>31</v>
      </c>
    </row>
    <row r="17" spans="1:26" ht="15" thickBot="1" x14ac:dyDescent="0.4">
      <c r="A17" s="11" t="s">
        <v>24</v>
      </c>
      <c r="B17" s="24">
        <v>1600</v>
      </c>
      <c r="C17" s="24">
        <v>1800</v>
      </c>
      <c r="D17" s="24">
        <v>1200</v>
      </c>
      <c r="E17" s="25">
        <v>4600</v>
      </c>
      <c r="F17" s="2">
        <v>15</v>
      </c>
      <c r="G17" s="32" t="s">
        <v>22</v>
      </c>
      <c r="H17" s="29">
        <v>0</v>
      </c>
      <c r="I17" s="34">
        <v>31</v>
      </c>
      <c r="J17" s="29">
        <v>279</v>
      </c>
      <c r="K17" s="29">
        <v>0</v>
      </c>
      <c r="L17" s="33" t="s">
        <v>22</v>
      </c>
      <c r="M17" s="32" t="s">
        <v>23</v>
      </c>
      <c r="N17" s="29">
        <v>86</v>
      </c>
      <c r="O17" s="29">
        <v>86</v>
      </c>
      <c r="P17" s="29">
        <v>1032</v>
      </c>
      <c r="Q17" s="29">
        <v>63</v>
      </c>
      <c r="R17" s="33" t="s">
        <v>22</v>
      </c>
      <c r="S17" s="32" t="s">
        <v>23</v>
      </c>
      <c r="T17" s="29">
        <v>28</v>
      </c>
      <c r="U17" s="29">
        <v>28</v>
      </c>
      <c r="V17" s="29">
        <v>504</v>
      </c>
      <c r="W17" s="29">
        <v>12</v>
      </c>
      <c r="X17" s="33" t="s">
        <v>23</v>
      </c>
      <c r="Y17" s="29">
        <v>1815</v>
      </c>
      <c r="Z17" s="29">
        <v>75</v>
      </c>
    </row>
    <row r="18" spans="1:26" ht="15" thickBot="1" x14ac:dyDescent="0.4">
      <c r="A18" s="11" t="s">
        <v>29</v>
      </c>
      <c r="B18" s="24">
        <v>84000</v>
      </c>
      <c r="C18" s="24">
        <v>361200</v>
      </c>
      <c r="D18" s="24">
        <v>57120</v>
      </c>
      <c r="E18" s="25">
        <v>502320</v>
      </c>
      <c r="F18" s="2">
        <v>16</v>
      </c>
      <c r="G18" s="32" t="s">
        <v>23</v>
      </c>
      <c r="H18" s="29">
        <v>105</v>
      </c>
      <c r="I18" s="29">
        <v>105</v>
      </c>
      <c r="J18" s="29">
        <v>945</v>
      </c>
      <c r="K18" s="29">
        <v>68</v>
      </c>
      <c r="L18" s="33" t="s">
        <v>23</v>
      </c>
      <c r="M18" s="32" t="s">
        <v>22</v>
      </c>
      <c r="N18" s="29">
        <v>0</v>
      </c>
      <c r="O18" s="29">
        <v>63</v>
      </c>
      <c r="P18" s="29">
        <v>756</v>
      </c>
      <c r="Q18" s="29">
        <v>40</v>
      </c>
      <c r="R18" s="33" t="s">
        <v>22</v>
      </c>
      <c r="S18" s="32" t="s">
        <v>22</v>
      </c>
      <c r="T18" s="29">
        <v>0</v>
      </c>
      <c r="U18" s="34">
        <v>12</v>
      </c>
      <c r="V18" s="29">
        <v>216</v>
      </c>
      <c r="W18" s="29">
        <v>0</v>
      </c>
      <c r="X18" s="33" t="s">
        <v>22</v>
      </c>
      <c r="Y18" s="29">
        <v>1917</v>
      </c>
      <c r="Z18" s="29">
        <v>108</v>
      </c>
    </row>
    <row r="19" spans="1:26" ht="15" thickBot="1" x14ac:dyDescent="0.4">
      <c r="A19" s="20" t="s">
        <v>30</v>
      </c>
      <c r="B19" s="25">
        <v>423.75</v>
      </c>
      <c r="C19" s="25">
        <v>2569</v>
      </c>
      <c r="D19" s="25">
        <v>129.19999999999996</v>
      </c>
      <c r="E19" s="25">
        <v>3121.95</v>
      </c>
      <c r="F19" s="2">
        <v>17</v>
      </c>
      <c r="G19" s="32" t="s">
        <v>22</v>
      </c>
      <c r="H19" s="29">
        <v>0</v>
      </c>
      <c r="I19" s="29">
        <v>68</v>
      </c>
      <c r="J19" s="29">
        <v>612</v>
      </c>
      <c r="K19" s="29">
        <v>31</v>
      </c>
      <c r="L19" s="33" t="s">
        <v>22</v>
      </c>
      <c r="M19" s="32" t="s">
        <v>22</v>
      </c>
      <c r="N19" s="29">
        <v>0</v>
      </c>
      <c r="O19" s="29">
        <v>40</v>
      </c>
      <c r="P19" s="29">
        <v>480</v>
      </c>
      <c r="Q19" s="29">
        <v>17</v>
      </c>
      <c r="R19" s="33" t="s">
        <v>23</v>
      </c>
      <c r="S19" s="32" t="s">
        <v>23</v>
      </c>
      <c r="T19" s="29">
        <v>28</v>
      </c>
      <c r="U19" s="29">
        <v>28</v>
      </c>
      <c r="V19" s="29">
        <v>504</v>
      </c>
      <c r="W19" s="29">
        <v>12</v>
      </c>
      <c r="X19" s="33" t="s">
        <v>23</v>
      </c>
      <c r="Y19" s="29">
        <v>1596</v>
      </c>
      <c r="Z19" s="29">
        <v>60</v>
      </c>
    </row>
    <row r="20" spans="1:26" ht="15" thickBot="1" x14ac:dyDescent="0.4">
      <c r="A20" s="23" t="s">
        <v>32</v>
      </c>
      <c r="B20" s="67">
        <v>3467</v>
      </c>
      <c r="C20" s="68"/>
      <c r="D20" s="69"/>
      <c r="F20" s="2">
        <v>18</v>
      </c>
      <c r="G20" s="32" t="s">
        <v>22</v>
      </c>
      <c r="H20" s="29">
        <v>0</v>
      </c>
      <c r="I20" s="34">
        <v>31</v>
      </c>
      <c r="J20" s="29">
        <v>279</v>
      </c>
      <c r="K20" s="29">
        <v>0</v>
      </c>
      <c r="L20" s="33" t="s">
        <v>22</v>
      </c>
      <c r="M20" s="32" t="s">
        <v>22</v>
      </c>
      <c r="N20" s="29">
        <v>0</v>
      </c>
      <c r="O20" s="34">
        <v>17</v>
      </c>
      <c r="P20" s="29">
        <v>204</v>
      </c>
      <c r="Q20" s="29">
        <v>0</v>
      </c>
      <c r="R20" s="33" t="s">
        <v>22</v>
      </c>
      <c r="S20" s="32" t="s">
        <v>22</v>
      </c>
      <c r="T20" s="29">
        <v>0</v>
      </c>
      <c r="U20" s="34">
        <v>12</v>
      </c>
      <c r="V20" s="29">
        <v>216</v>
      </c>
      <c r="W20" s="29">
        <v>0</v>
      </c>
      <c r="X20" s="33" t="s">
        <v>22</v>
      </c>
      <c r="Y20" s="29">
        <v>699</v>
      </c>
      <c r="Z20" s="29">
        <v>0</v>
      </c>
    </row>
    <row r="21" spans="1:26" ht="15" thickBot="1" x14ac:dyDescent="0.4">
      <c r="A21" s="21" t="s">
        <v>25</v>
      </c>
      <c r="B21" s="63">
        <v>510041.95</v>
      </c>
      <c r="C21" s="64"/>
      <c r="D21" s="65"/>
      <c r="F21" s="2">
        <v>19</v>
      </c>
      <c r="G21" s="32" t="s">
        <v>23</v>
      </c>
      <c r="H21" s="29">
        <v>105</v>
      </c>
      <c r="I21" s="29">
        <v>105</v>
      </c>
      <c r="J21" s="29">
        <v>945</v>
      </c>
      <c r="K21" s="29">
        <v>68</v>
      </c>
      <c r="L21" s="33" t="s">
        <v>23</v>
      </c>
      <c r="M21" s="32" t="s">
        <v>23</v>
      </c>
      <c r="N21" s="29">
        <v>86</v>
      </c>
      <c r="O21" s="29">
        <v>86</v>
      </c>
      <c r="P21" s="29">
        <v>1032</v>
      </c>
      <c r="Q21" s="29">
        <v>63</v>
      </c>
      <c r="R21" s="33" t="s">
        <v>22</v>
      </c>
      <c r="S21" s="32" t="s">
        <v>23</v>
      </c>
      <c r="T21" s="29">
        <v>28</v>
      </c>
      <c r="U21" s="29">
        <v>28</v>
      </c>
      <c r="V21" s="29">
        <v>504</v>
      </c>
      <c r="W21" s="29">
        <v>12</v>
      </c>
      <c r="X21" s="33" t="s">
        <v>23</v>
      </c>
      <c r="Y21" s="29">
        <v>2481</v>
      </c>
      <c r="Z21" s="29">
        <v>143</v>
      </c>
    </row>
    <row r="22" spans="1:26" ht="15" thickBot="1" x14ac:dyDescent="0.4">
      <c r="A22" s="22" t="s">
        <v>20</v>
      </c>
      <c r="B22" s="54">
        <v>0</v>
      </c>
      <c r="C22" s="55"/>
      <c r="D22" s="56"/>
      <c r="F22" s="2">
        <v>20</v>
      </c>
      <c r="G22" s="32" t="s">
        <v>22</v>
      </c>
      <c r="H22" s="29">
        <v>0</v>
      </c>
      <c r="I22" s="29">
        <v>68</v>
      </c>
      <c r="J22" s="29">
        <v>612</v>
      </c>
      <c r="K22" s="29">
        <v>31</v>
      </c>
      <c r="L22" s="33" t="s">
        <v>22</v>
      </c>
      <c r="M22" s="32" t="s">
        <v>22</v>
      </c>
      <c r="N22" s="29">
        <v>0</v>
      </c>
      <c r="O22" s="29">
        <v>63</v>
      </c>
      <c r="P22" s="29">
        <v>756</v>
      </c>
      <c r="Q22" s="29">
        <v>40</v>
      </c>
      <c r="R22" s="33" t="s">
        <v>22</v>
      </c>
      <c r="S22" s="32" t="s">
        <v>22</v>
      </c>
      <c r="T22" s="29">
        <v>0</v>
      </c>
      <c r="U22" s="34">
        <v>12</v>
      </c>
      <c r="V22" s="29">
        <v>216</v>
      </c>
      <c r="W22" s="29">
        <v>0</v>
      </c>
      <c r="X22" s="33" t="s">
        <v>22</v>
      </c>
      <c r="Y22" s="29">
        <v>1584</v>
      </c>
      <c r="Z22" s="29">
        <v>71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34">
        <v>31</v>
      </c>
      <c r="J23" s="29">
        <v>279</v>
      </c>
      <c r="K23" s="29">
        <v>0</v>
      </c>
      <c r="L23" s="33" t="s">
        <v>22</v>
      </c>
      <c r="M23" s="32" t="s">
        <v>22</v>
      </c>
      <c r="N23" s="29">
        <v>0</v>
      </c>
      <c r="O23" s="29">
        <v>40</v>
      </c>
      <c r="P23" s="29">
        <v>480</v>
      </c>
      <c r="Q23" s="29">
        <v>17</v>
      </c>
      <c r="R23" s="33" t="s">
        <v>23</v>
      </c>
      <c r="S23" s="32" t="s">
        <v>23</v>
      </c>
      <c r="T23" s="29">
        <v>28</v>
      </c>
      <c r="U23" s="29">
        <v>28</v>
      </c>
      <c r="V23" s="29">
        <v>504</v>
      </c>
      <c r="W23" s="29">
        <v>12</v>
      </c>
      <c r="X23" s="33" t="s">
        <v>23</v>
      </c>
      <c r="Y23" s="29">
        <v>1263</v>
      </c>
      <c r="Z23" s="29">
        <v>29</v>
      </c>
    </row>
    <row r="24" spans="1:26" x14ac:dyDescent="0.35">
      <c r="A24" s="38" t="s">
        <v>9</v>
      </c>
      <c r="B24" s="30"/>
      <c r="C24" s="30"/>
      <c r="D24" s="30"/>
      <c r="F24" s="2">
        <v>22</v>
      </c>
      <c r="G24" s="32" t="s">
        <v>23</v>
      </c>
      <c r="H24" s="29">
        <v>105</v>
      </c>
      <c r="I24" s="29">
        <v>105</v>
      </c>
      <c r="J24" s="29">
        <v>945</v>
      </c>
      <c r="K24" s="29">
        <v>68</v>
      </c>
      <c r="L24" s="33" t="s">
        <v>23</v>
      </c>
      <c r="M24" s="32" t="s">
        <v>22</v>
      </c>
      <c r="N24" s="29">
        <v>0</v>
      </c>
      <c r="O24" s="34">
        <v>17</v>
      </c>
      <c r="P24" s="29">
        <v>204</v>
      </c>
      <c r="Q24" s="29">
        <v>0</v>
      </c>
      <c r="R24" s="33" t="s">
        <v>22</v>
      </c>
      <c r="S24" s="32" t="s">
        <v>22</v>
      </c>
      <c r="T24" s="29">
        <v>0</v>
      </c>
      <c r="U24" s="34">
        <v>12</v>
      </c>
      <c r="V24" s="29">
        <v>216</v>
      </c>
      <c r="W24" s="29">
        <v>0</v>
      </c>
      <c r="X24" s="33" t="s">
        <v>22</v>
      </c>
      <c r="Y24" s="29">
        <v>1365</v>
      </c>
      <c r="Z24" s="29">
        <v>68</v>
      </c>
    </row>
    <row r="25" spans="1:26" x14ac:dyDescent="0.35">
      <c r="A25" s="38" t="s">
        <v>44</v>
      </c>
      <c r="F25" s="2">
        <v>23</v>
      </c>
      <c r="G25" s="32" t="s">
        <v>22</v>
      </c>
      <c r="H25" s="29">
        <v>0</v>
      </c>
      <c r="I25" s="29">
        <v>68</v>
      </c>
      <c r="J25" s="29">
        <v>612</v>
      </c>
      <c r="K25" s="29">
        <v>31</v>
      </c>
      <c r="L25" s="33" t="s">
        <v>22</v>
      </c>
      <c r="M25" s="32" t="s">
        <v>23</v>
      </c>
      <c r="N25" s="29">
        <v>86</v>
      </c>
      <c r="O25" s="29">
        <v>86</v>
      </c>
      <c r="P25" s="29">
        <v>1032</v>
      </c>
      <c r="Q25" s="29">
        <v>63</v>
      </c>
      <c r="R25" s="33" t="s">
        <v>22</v>
      </c>
      <c r="S25" s="32" t="s">
        <v>23</v>
      </c>
      <c r="T25" s="29">
        <v>28</v>
      </c>
      <c r="U25" s="29">
        <v>28</v>
      </c>
      <c r="V25" s="29">
        <v>504</v>
      </c>
      <c r="W25" s="29">
        <v>12</v>
      </c>
      <c r="X25" s="33" t="s">
        <v>23</v>
      </c>
      <c r="Y25" s="29">
        <v>2148</v>
      </c>
      <c r="Z25" s="29">
        <v>106</v>
      </c>
    </row>
    <row r="26" spans="1:26" x14ac:dyDescent="0.35">
      <c r="A26" s="38"/>
      <c r="F26" s="2">
        <v>24</v>
      </c>
      <c r="G26" s="32" t="s">
        <v>22</v>
      </c>
      <c r="H26" s="29">
        <v>0</v>
      </c>
      <c r="I26" s="34">
        <v>31</v>
      </c>
      <c r="J26" s="29">
        <v>279</v>
      </c>
      <c r="K26" s="29">
        <v>0</v>
      </c>
      <c r="L26" s="33" t="s">
        <v>22</v>
      </c>
      <c r="M26" s="32" t="s">
        <v>22</v>
      </c>
      <c r="N26" s="29">
        <v>0</v>
      </c>
      <c r="O26" s="29">
        <v>63</v>
      </c>
      <c r="P26" s="29">
        <v>756</v>
      </c>
      <c r="Q26" s="29">
        <v>40</v>
      </c>
      <c r="R26" s="33" t="s">
        <v>22</v>
      </c>
      <c r="S26" s="32" t="s">
        <v>22</v>
      </c>
      <c r="T26" s="29">
        <v>0</v>
      </c>
      <c r="U26" s="34">
        <v>12</v>
      </c>
      <c r="V26" s="29">
        <v>216</v>
      </c>
      <c r="W26" s="29">
        <v>0</v>
      </c>
      <c r="X26" s="33" t="s">
        <v>22</v>
      </c>
      <c r="Y26" s="29">
        <v>1251</v>
      </c>
      <c r="Z26" s="29">
        <v>40</v>
      </c>
    </row>
    <row r="27" spans="1:26" x14ac:dyDescent="0.35">
      <c r="A27" s="38"/>
      <c r="F27" s="2">
        <v>25</v>
      </c>
      <c r="G27" s="32" t="s">
        <v>23</v>
      </c>
      <c r="H27" s="29">
        <v>105</v>
      </c>
      <c r="I27" s="29">
        <v>105</v>
      </c>
      <c r="J27" s="29">
        <v>945</v>
      </c>
      <c r="K27" s="29">
        <v>68</v>
      </c>
      <c r="L27" s="33" t="s">
        <v>23</v>
      </c>
      <c r="M27" s="32" t="s">
        <v>22</v>
      </c>
      <c r="N27" s="29">
        <v>0</v>
      </c>
      <c r="O27" s="29">
        <v>40</v>
      </c>
      <c r="P27" s="29">
        <v>480</v>
      </c>
      <c r="Q27" s="29">
        <v>17</v>
      </c>
      <c r="R27" s="33" t="s">
        <v>23</v>
      </c>
      <c r="S27" s="32" t="s">
        <v>23</v>
      </c>
      <c r="T27" s="29">
        <v>28</v>
      </c>
      <c r="U27" s="29">
        <v>28</v>
      </c>
      <c r="V27" s="29">
        <v>504</v>
      </c>
      <c r="W27" s="29">
        <v>12</v>
      </c>
      <c r="X27" s="33" t="s">
        <v>23</v>
      </c>
      <c r="Y27" s="29">
        <v>1929</v>
      </c>
      <c r="Z27" s="29">
        <v>97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68</v>
      </c>
      <c r="J28" s="29">
        <v>612</v>
      </c>
      <c r="K28" s="29">
        <v>31</v>
      </c>
      <c r="L28" s="33" t="s">
        <v>22</v>
      </c>
      <c r="M28" s="32" t="s">
        <v>22</v>
      </c>
      <c r="N28" s="29">
        <v>0</v>
      </c>
      <c r="O28" s="34">
        <v>17</v>
      </c>
      <c r="P28" s="29">
        <v>204</v>
      </c>
      <c r="Q28" s="29">
        <v>0</v>
      </c>
      <c r="R28" s="33" t="s">
        <v>22</v>
      </c>
      <c r="S28" s="32" t="s">
        <v>22</v>
      </c>
      <c r="T28" s="29">
        <v>0</v>
      </c>
      <c r="U28" s="34">
        <v>12</v>
      </c>
      <c r="V28" s="29">
        <v>216</v>
      </c>
      <c r="W28" s="29">
        <v>0</v>
      </c>
      <c r="X28" s="33" t="s">
        <v>22</v>
      </c>
      <c r="Y28" s="29">
        <v>1032</v>
      </c>
      <c r="Z28" s="29">
        <v>31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34">
        <v>31</v>
      </c>
      <c r="J29" s="29">
        <v>279</v>
      </c>
      <c r="K29" s="29">
        <v>0</v>
      </c>
      <c r="L29" s="33" t="s">
        <v>22</v>
      </c>
      <c r="M29" s="32" t="s">
        <v>23</v>
      </c>
      <c r="N29" s="29">
        <v>86</v>
      </c>
      <c r="O29" s="29">
        <v>86</v>
      </c>
      <c r="P29" s="29">
        <v>1032</v>
      </c>
      <c r="Q29" s="29">
        <v>63</v>
      </c>
      <c r="R29" s="33" t="s">
        <v>22</v>
      </c>
      <c r="S29" s="32" t="s">
        <v>23</v>
      </c>
      <c r="T29" s="29">
        <v>28</v>
      </c>
      <c r="U29" s="29">
        <v>28</v>
      </c>
      <c r="V29" s="29">
        <v>504</v>
      </c>
      <c r="W29" s="29">
        <v>12</v>
      </c>
      <c r="X29" s="33" t="s">
        <v>23</v>
      </c>
      <c r="Y29" s="29">
        <v>1815</v>
      </c>
      <c r="Z29" s="29">
        <v>75</v>
      </c>
    </row>
    <row r="30" spans="1:26" x14ac:dyDescent="0.35">
      <c r="A30" s="38" t="s">
        <v>35</v>
      </c>
      <c r="B30" s="30">
        <f t="shared" ref="B30:D31" si="0">B3</f>
        <v>105</v>
      </c>
      <c r="C30" s="30">
        <f t="shared" si="0"/>
        <v>86</v>
      </c>
      <c r="D30" s="30">
        <f t="shared" si="0"/>
        <v>28</v>
      </c>
      <c r="F30" s="2">
        <v>28</v>
      </c>
      <c r="G30" s="32" t="s">
        <v>23</v>
      </c>
      <c r="H30" s="29">
        <v>105</v>
      </c>
      <c r="I30" s="29">
        <v>105</v>
      </c>
      <c r="J30" s="29">
        <v>945</v>
      </c>
      <c r="K30" s="29">
        <v>68</v>
      </c>
      <c r="L30" s="33" t="s">
        <v>23</v>
      </c>
      <c r="M30" s="32" t="s">
        <v>22</v>
      </c>
      <c r="N30" s="29">
        <v>0</v>
      </c>
      <c r="O30" s="29">
        <v>63</v>
      </c>
      <c r="P30" s="29">
        <v>756</v>
      </c>
      <c r="Q30" s="29">
        <v>40</v>
      </c>
      <c r="R30" s="33" t="s">
        <v>22</v>
      </c>
      <c r="S30" s="32" t="s">
        <v>22</v>
      </c>
      <c r="T30" s="29">
        <v>0</v>
      </c>
      <c r="U30" s="34">
        <v>12</v>
      </c>
      <c r="V30" s="29">
        <v>216</v>
      </c>
      <c r="W30" s="29">
        <v>0</v>
      </c>
      <c r="X30" s="33" t="s">
        <v>22</v>
      </c>
      <c r="Y30" s="29">
        <v>1917</v>
      </c>
      <c r="Z30" s="29">
        <v>108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24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68</v>
      </c>
      <c r="J31" s="29">
        <v>612</v>
      </c>
      <c r="K31" s="29">
        <v>31</v>
      </c>
      <c r="L31" s="33" t="s">
        <v>22</v>
      </c>
      <c r="M31" s="32" t="s">
        <v>22</v>
      </c>
      <c r="N31" s="29">
        <v>0</v>
      </c>
      <c r="O31" s="29">
        <v>40</v>
      </c>
      <c r="P31" s="29">
        <v>480</v>
      </c>
      <c r="Q31" s="29">
        <v>17</v>
      </c>
      <c r="R31" s="33" t="s">
        <v>23</v>
      </c>
      <c r="S31" s="32" t="s">
        <v>23</v>
      </c>
      <c r="T31" s="29">
        <v>28</v>
      </c>
      <c r="U31" s="29">
        <v>28</v>
      </c>
      <c r="V31" s="29">
        <v>504</v>
      </c>
      <c r="W31" s="29">
        <v>12</v>
      </c>
      <c r="X31" s="33" t="s">
        <v>23</v>
      </c>
      <c r="Y31" s="29">
        <v>1596</v>
      </c>
      <c r="Z31" s="29">
        <v>60</v>
      </c>
    </row>
    <row r="32" spans="1:26" x14ac:dyDescent="0.35">
      <c r="A32" s="38" t="s">
        <v>45</v>
      </c>
      <c r="B32" s="47">
        <f>B22-13</f>
        <v>-13</v>
      </c>
      <c r="E32" s="30"/>
      <c r="F32" s="2">
        <v>30</v>
      </c>
      <c r="G32" s="32" t="s">
        <v>22</v>
      </c>
      <c r="H32" s="29">
        <v>0</v>
      </c>
      <c r="I32" s="34">
        <v>31</v>
      </c>
      <c r="J32" s="29">
        <v>279</v>
      </c>
      <c r="K32" s="29">
        <v>0</v>
      </c>
      <c r="L32" s="33" t="s">
        <v>22</v>
      </c>
      <c r="M32" s="32" t="s">
        <v>22</v>
      </c>
      <c r="N32" s="29">
        <v>0</v>
      </c>
      <c r="O32" s="34">
        <v>17</v>
      </c>
      <c r="P32" s="29">
        <v>204</v>
      </c>
      <c r="Q32" s="29">
        <v>0</v>
      </c>
      <c r="R32" s="33" t="s">
        <v>22</v>
      </c>
      <c r="S32" s="32" t="s">
        <v>22</v>
      </c>
      <c r="T32" s="29">
        <v>0</v>
      </c>
      <c r="U32" s="34">
        <v>12</v>
      </c>
      <c r="V32" s="29">
        <v>216</v>
      </c>
      <c r="W32" s="29">
        <v>0</v>
      </c>
      <c r="X32" s="33" t="s">
        <v>22</v>
      </c>
      <c r="Y32" s="29">
        <v>699</v>
      </c>
      <c r="Z32" s="29">
        <v>0</v>
      </c>
    </row>
    <row r="33" spans="1:26" x14ac:dyDescent="0.35">
      <c r="A33" s="38" t="s">
        <v>46</v>
      </c>
      <c r="B33" s="45">
        <f>B21-507911.75</f>
        <v>2130.2000000000116</v>
      </c>
      <c r="F33" s="2">
        <v>31</v>
      </c>
      <c r="G33" s="32" t="s">
        <v>23</v>
      </c>
      <c r="H33" s="29">
        <v>105</v>
      </c>
      <c r="I33" s="29">
        <v>105</v>
      </c>
      <c r="J33" s="29">
        <v>945</v>
      </c>
      <c r="K33" s="29">
        <v>68</v>
      </c>
      <c r="L33" s="33" t="s">
        <v>23</v>
      </c>
      <c r="M33" s="32" t="s">
        <v>23</v>
      </c>
      <c r="N33" s="29">
        <v>86</v>
      </c>
      <c r="O33" s="29">
        <v>86</v>
      </c>
      <c r="P33" s="29">
        <v>1032</v>
      </c>
      <c r="Q33" s="29">
        <v>63</v>
      </c>
      <c r="R33" s="33" t="s">
        <v>22</v>
      </c>
      <c r="S33" s="32" t="s">
        <v>23</v>
      </c>
      <c r="T33" s="29">
        <v>28</v>
      </c>
      <c r="U33" s="29">
        <v>28</v>
      </c>
      <c r="V33" s="29">
        <v>504</v>
      </c>
      <c r="W33" s="29">
        <v>12</v>
      </c>
      <c r="X33" s="33" t="s">
        <v>23</v>
      </c>
      <c r="Y33" s="29">
        <v>2481</v>
      </c>
      <c r="Z33" s="29">
        <v>143</v>
      </c>
    </row>
    <row r="34" spans="1:26" x14ac:dyDescent="0.35">
      <c r="F34" s="2">
        <v>32</v>
      </c>
      <c r="G34" s="32" t="s">
        <v>22</v>
      </c>
      <c r="H34" s="29">
        <v>0</v>
      </c>
      <c r="I34" s="29">
        <v>68</v>
      </c>
      <c r="J34" s="29">
        <v>612</v>
      </c>
      <c r="K34" s="29">
        <v>31</v>
      </c>
      <c r="L34" s="33" t="s">
        <v>22</v>
      </c>
      <c r="M34" s="32" t="s">
        <v>22</v>
      </c>
      <c r="N34" s="29">
        <v>0</v>
      </c>
      <c r="O34" s="29">
        <v>63</v>
      </c>
      <c r="P34" s="29">
        <v>756</v>
      </c>
      <c r="Q34" s="29">
        <v>40</v>
      </c>
      <c r="R34" s="33" t="s">
        <v>22</v>
      </c>
      <c r="S34" s="32" t="s">
        <v>22</v>
      </c>
      <c r="T34" s="29">
        <v>0</v>
      </c>
      <c r="U34" s="34">
        <v>12</v>
      </c>
      <c r="V34" s="29">
        <v>216</v>
      </c>
      <c r="W34" s="29">
        <v>0</v>
      </c>
      <c r="X34" s="33" t="s">
        <v>22</v>
      </c>
      <c r="Y34" s="29">
        <v>1584</v>
      </c>
      <c r="Z34" s="29">
        <v>71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34">
        <v>31</v>
      </c>
      <c r="J35" s="29">
        <v>279</v>
      </c>
      <c r="K35" s="29">
        <v>0</v>
      </c>
      <c r="L35" s="33" t="s">
        <v>22</v>
      </c>
      <c r="M35" s="32" t="s">
        <v>22</v>
      </c>
      <c r="N35" s="29">
        <v>0</v>
      </c>
      <c r="O35" s="29">
        <v>40</v>
      </c>
      <c r="P35" s="29">
        <v>480</v>
      </c>
      <c r="Q35" s="29">
        <v>17</v>
      </c>
      <c r="R35" s="33" t="s">
        <v>23</v>
      </c>
      <c r="S35" s="32" t="s">
        <v>23</v>
      </c>
      <c r="T35" s="29">
        <v>28</v>
      </c>
      <c r="U35" s="29">
        <v>28</v>
      </c>
      <c r="V35" s="29">
        <v>504</v>
      </c>
      <c r="W35" s="29">
        <v>12</v>
      </c>
      <c r="X35" s="33" t="s">
        <v>23</v>
      </c>
      <c r="Y35" s="29">
        <v>1263</v>
      </c>
      <c r="Z35" s="29">
        <v>29</v>
      </c>
    </row>
    <row r="36" spans="1:26" x14ac:dyDescent="0.35">
      <c r="A36" s="38" t="s">
        <v>41</v>
      </c>
      <c r="B36" s="34"/>
      <c r="F36" s="2">
        <v>34</v>
      </c>
      <c r="G36" s="32" t="s">
        <v>23</v>
      </c>
      <c r="H36" s="29">
        <v>105</v>
      </c>
      <c r="I36" s="29">
        <v>105</v>
      </c>
      <c r="J36" s="29">
        <v>945</v>
      </c>
      <c r="K36" s="29">
        <v>68</v>
      </c>
      <c r="L36" s="33" t="s">
        <v>23</v>
      </c>
      <c r="M36" s="32" t="s">
        <v>22</v>
      </c>
      <c r="N36" s="29">
        <v>0</v>
      </c>
      <c r="O36" s="34">
        <v>17</v>
      </c>
      <c r="P36" s="29">
        <v>204</v>
      </c>
      <c r="Q36" s="29">
        <v>0</v>
      </c>
      <c r="R36" s="33" t="s">
        <v>22</v>
      </c>
      <c r="S36" s="32" t="s">
        <v>22</v>
      </c>
      <c r="T36" s="29">
        <v>0</v>
      </c>
      <c r="U36" s="34">
        <v>12</v>
      </c>
      <c r="V36" s="29">
        <v>216</v>
      </c>
      <c r="W36" s="29">
        <v>0</v>
      </c>
      <c r="X36" s="33" t="s">
        <v>22</v>
      </c>
      <c r="Y36" s="29">
        <v>1365</v>
      </c>
      <c r="Z36" s="29">
        <v>68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68</v>
      </c>
      <c r="J37" s="29">
        <v>612</v>
      </c>
      <c r="K37" s="29">
        <v>31</v>
      </c>
      <c r="L37" s="33" t="s">
        <v>22</v>
      </c>
      <c r="M37" s="32" t="s">
        <v>23</v>
      </c>
      <c r="N37" s="29">
        <v>86</v>
      </c>
      <c r="O37" s="29">
        <v>86</v>
      </c>
      <c r="P37" s="29">
        <v>1032</v>
      </c>
      <c r="Q37" s="29">
        <v>63</v>
      </c>
      <c r="R37" s="33" t="s">
        <v>22</v>
      </c>
      <c r="S37" s="32" t="s">
        <v>23</v>
      </c>
      <c r="T37" s="29">
        <v>28</v>
      </c>
      <c r="U37" s="29">
        <v>28</v>
      </c>
      <c r="V37" s="29">
        <v>504</v>
      </c>
      <c r="W37" s="29">
        <v>12</v>
      </c>
      <c r="X37" s="33" t="s">
        <v>23</v>
      </c>
      <c r="Y37" s="29">
        <v>2148</v>
      </c>
      <c r="Z37" s="29">
        <v>106</v>
      </c>
    </row>
    <row r="38" spans="1:26" x14ac:dyDescent="0.35">
      <c r="F38" s="2">
        <v>36</v>
      </c>
      <c r="G38" s="32" t="s">
        <v>22</v>
      </c>
      <c r="H38" s="29">
        <v>0</v>
      </c>
      <c r="I38" s="34">
        <v>31</v>
      </c>
      <c r="J38" s="29">
        <v>279</v>
      </c>
      <c r="K38" s="29">
        <v>0</v>
      </c>
      <c r="L38" s="33" t="s">
        <v>22</v>
      </c>
      <c r="M38" s="32" t="s">
        <v>22</v>
      </c>
      <c r="N38" s="29">
        <v>0</v>
      </c>
      <c r="O38" s="29">
        <v>63</v>
      </c>
      <c r="P38" s="29">
        <v>756</v>
      </c>
      <c r="Q38" s="29">
        <v>40</v>
      </c>
      <c r="R38" s="33" t="s">
        <v>22</v>
      </c>
      <c r="S38" s="32" t="s">
        <v>22</v>
      </c>
      <c r="T38" s="29">
        <v>0</v>
      </c>
      <c r="U38" s="34">
        <v>12</v>
      </c>
      <c r="V38" s="29">
        <v>216</v>
      </c>
      <c r="W38" s="29">
        <v>0</v>
      </c>
      <c r="X38" s="33" t="s">
        <v>22</v>
      </c>
      <c r="Y38" s="29">
        <v>1251</v>
      </c>
      <c r="Z38" s="29">
        <v>40</v>
      </c>
    </row>
    <row r="39" spans="1:26" x14ac:dyDescent="0.35">
      <c r="F39" s="2">
        <v>37</v>
      </c>
      <c r="G39" s="32" t="s">
        <v>23</v>
      </c>
      <c r="H39" s="29">
        <v>105</v>
      </c>
      <c r="I39" s="29">
        <v>105</v>
      </c>
      <c r="J39" s="29">
        <v>945</v>
      </c>
      <c r="K39" s="29">
        <v>68</v>
      </c>
      <c r="L39" s="33" t="s">
        <v>23</v>
      </c>
      <c r="M39" s="32" t="s">
        <v>22</v>
      </c>
      <c r="N39" s="29">
        <v>0</v>
      </c>
      <c r="O39" s="29">
        <v>40</v>
      </c>
      <c r="P39" s="29">
        <v>480</v>
      </c>
      <c r="Q39" s="29">
        <v>17</v>
      </c>
      <c r="R39" s="33" t="s">
        <v>23</v>
      </c>
      <c r="S39" s="32" t="s">
        <v>23</v>
      </c>
      <c r="T39" s="29">
        <v>28</v>
      </c>
      <c r="U39" s="29">
        <v>28</v>
      </c>
      <c r="V39" s="29">
        <v>504</v>
      </c>
      <c r="W39" s="29">
        <v>12</v>
      </c>
      <c r="X39" s="33" t="s">
        <v>23</v>
      </c>
      <c r="Y39" s="29">
        <v>1929</v>
      </c>
      <c r="Z39" s="29">
        <v>97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68</v>
      </c>
      <c r="J40" s="29">
        <v>612</v>
      </c>
      <c r="K40" s="29">
        <v>31</v>
      </c>
      <c r="L40" s="33" t="s">
        <v>22</v>
      </c>
      <c r="M40" s="32" t="s">
        <v>22</v>
      </c>
      <c r="N40" s="29">
        <v>0</v>
      </c>
      <c r="O40" s="34">
        <v>17</v>
      </c>
      <c r="P40" s="29">
        <v>204</v>
      </c>
      <c r="Q40" s="29">
        <v>0</v>
      </c>
      <c r="R40" s="33" t="s">
        <v>22</v>
      </c>
      <c r="S40" s="32" t="s">
        <v>22</v>
      </c>
      <c r="T40" s="29">
        <v>0</v>
      </c>
      <c r="U40" s="34">
        <v>12</v>
      </c>
      <c r="V40" s="29">
        <v>216</v>
      </c>
      <c r="W40" s="29">
        <v>0</v>
      </c>
      <c r="X40" s="33" t="s">
        <v>22</v>
      </c>
      <c r="Y40" s="29">
        <v>1032</v>
      </c>
      <c r="Z40" s="29">
        <v>31</v>
      </c>
    </row>
    <row r="41" spans="1:26" x14ac:dyDescent="0.35">
      <c r="F41" s="2">
        <v>39</v>
      </c>
      <c r="G41" s="32" t="s">
        <v>22</v>
      </c>
      <c r="H41" s="29">
        <v>0</v>
      </c>
      <c r="I41" s="34">
        <v>31</v>
      </c>
      <c r="J41" s="29">
        <v>279</v>
      </c>
      <c r="K41" s="29">
        <v>0</v>
      </c>
      <c r="L41" s="33" t="s">
        <v>22</v>
      </c>
      <c r="M41" s="32" t="s">
        <v>23</v>
      </c>
      <c r="N41" s="29">
        <v>86</v>
      </c>
      <c r="O41" s="29">
        <v>86</v>
      </c>
      <c r="P41" s="29">
        <v>1032</v>
      </c>
      <c r="Q41" s="29">
        <v>63</v>
      </c>
      <c r="R41" s="33" t="s">
        <v>22</v>
      </c>
      <c r="S41" s="32" t="s">
        <v>23</v>
      </c>
      <c r="T41" s="29">
        <v>28</v>
      </c>
      <c r="U41" s="29">
        <v>28</v>
      </c>
      <c r="V41" s="29">
        <v>504</v>
      </c>
      <c r="W41" s="29">
        <v>12</v>
      </c>
      <c r="X41" s="33" t="s">
        <v>23</v>
      </c>
      <c r="Y41" s="29">
        <v>1815</v>
      </c>
      <c r="Z41" s="29">
        <v>75</v>
      </c>
    </row>
    <row r="42" spans="1:26" x14ac:dyDescent="0.35">
      <c r="F42" s="2">
        <v>40</v>
      </c>
      <c r="G42" s="32" t="s">
        <v>23</v>
      </c>
      <c r="H42" s="29">
        <v>105</v>
      </c>
      <c r="I42" s="29">
        <v>105</v>
      </c>
      <c r="J42" s="29">
        <v>945</v>
      </c>
      <c r="K42" s="29">
        <v>68</v>
      </c>
      <c r="L42" s="33" t="s">
        <v>23</v>
      </c>
      <c r="M42" s="32" t="s">
        <v>22</v>
      </c>
      <c r="N42" s="29">
        <v>0</v>
      </c>
      <c r="O42" s="29">
        <v>63</v>
      </c>
      <c r="P42" s="29">
        <v>756</v>
      </c>
      <c r="Q42" s="29">
        <v>40</v>
      </c>
      <c r="R42" s="33" t="s">
        <v>22</v>
      </c>
      <c r="S42" s="32" t="s">
        <v>22</v>
      </c>
      <c r="T42" s="29">
        <v>0</v>
      </c>
      <c r="U42" s="34">
        <v>12</v>
      </c>
      <c r="V42" s="29">
        <v>216</v>
      </c>
      <c r="W42" s="29">
        <v>0</v>
      </c>
      <c r="X42" s="33" t="s">
        <v>22</v>
      </c>
      <c r="Y42" s="29">
        <v>1917</v>
      </c>
      <c r="Z42" s="29">
        <v>108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68</v>
      </c>
      <c r="J43" s="29">
        <v>612</v>
      </c>
      <c r="K43" s="29">
        <v>31</v>
      </c>
      <c r="L43" s="33" t="s">
        <v>22</v>
      </c>
      <c r="M43" s="32" t="s">
        <v>22</v>
      </c>
      <c r="N43" s="29">
        <v>0</v>
      </c>
      <c r="O43" s="29">
        <v>40</v>
      </c>
      <c r="P43" s="29">
        <v>480</v>
      </c>
      <c r="Q43" s="29">
        <v>17</v>
      </c>
      <c r="R43" s="33" t="s">
        <v>23</v>
      </c>
      <c r="S43" s="32" t="s">
        <v>23</v>
      </c>
      <c r="T43" s="29">
        <v>28</v>
      </c>
      <c r="U43" s="29">
        <v>28</v>
      </c>
      <c r="V43" s="29">
        <v>504</v>
      </c>
      <c r="W43" s="29">
        <v>12</v>
      </c>
      <c r="X43" s="33" t="s">
        <v>23</v>
      </c>
      <c r="Y43" s="29">
        <v>1596</v>
      </c>
      <c r="Z43" s="29">
        <v>60</v>
      </c>
    </row>
    <row r="44" spans="1:26" x14ac:dyDescent="0.35">
      <c r="F44" s="2">
        <v>42</v>
      </c>
      <c r="G44" s="32" t="s">
        <v>22</v>
      </c>
      <c r="H44" s="29">
        <v>0</v>
      </c>
      <c r="I44" s="34">
        <v>31</v>
      </c>
      <c r="J44" s="29">
        <v>279</v>
      </c>
      <c r="K44" s="29">
        <v>0</v>
      </c>
      <c r="L44" s="33" t="s">
        <v>22</v>
      </c>
      <c r="M44" s="32" t="s">
        <v>22</v>
      </c>
      <c r="N44" s="29">
        <v>0</v>
      </c>
      <c r="O44" s="34">
        <v>17</v>
      </c>
      <c r="P44" s="29">
        <v>204</v>
      </c>
      <c r="Q44" s="29">
        <v>0</v>
      </c>
      <c r="R44" s="33" t="s">
        <v>22</v>
      </c>
      <c r="S44" s="32" t="s">
        <v>22</v>
      </c>
      <c r="T44" s="29">
        <v>0</v>
      </c>
      <c r="U44" s="34">
        <v>12</v>
      </c>
      <c r="V44" s="29">
        <v>216</v>
      </c>
      <c r="W44" s="29">
        <v>0</v>
      </c>
      <c r="X44" s="33" t="s">
        <v>22</v>
      </c>
      <c r="Y44" s="29">
        <v>699</v>
      </c>
      <c r="Z44" s="29">
        <v>0</v>
      </c>
    </row>
    <row r="45" spans="1:26" x14ac:dyDescent="0.35">
      <c r="F45" s="2">
        <v>43</v>
      </c>
      <c r="G45" s="32" t="s">
        <v>23</v>
      </c>
      <c r="H45" s="29">
        <v>105</v>
      </c>
      <c r="I45" s="29">
        <v>105</v>
      </c>
      <c r="J45" s="29">
        <v>945</v>
      </c>
      <c r="K45" s="29">
        <v>68</v>
      </c>
      <c r="L45" s="33" t="s">
        <v>23</v>
      </c>
      <c r="M45" s="32" t="s">
        <v>23</v>
      </c>
      <c r="N45" s="29">
        <v>86</v>
      </c>
      <c r="O45" s="29">
        <v>86</v>
      </c>
      <c r="P45" s="29">
        <v>1032</v>
      </c>
      <c r="Q45" s="29">
        <v>63</v>
      </c>
      <c r="R45" s="33" t="s">
        <v>22</v>
      </c>
      <c r="S45" s="32" t="s">
        <v>23</v>
      </c>
      <c r="T45" s="29">
        <v>28</v>
      </c>
      <c r="U45" s="29">
        <v>28</v>
      </c>
      <c r="V45" s="29">
        <v>504</v>
      </c>
      <c r="W45" s="29">
        <v>12</v>
      </c>
      <c r="X45" s="33" t="s">
        <v>23</v>
      </c>
      <c r="Y45" s="29">
        <v>2481</v>
      </c>
      <c r="Z45" s="29">
        <v>143</v>
      </c>
    </row>
    <row r="46" spans="1:26" x14ac:dyDescent="0.35">
      <c r="F46" s="2">
        <v>44</v>
      </c>
      <c r="G46" s="32" t="s">
        <v>22</v>
      </c>
      <c r="H46" s="29">
        <v>0</v>
      </c>
      <c r="I46" s="29">
        <v>68</v>
      </c>
      <c r="J46" s="29">
        <v>612</v>
      </c>
      <c r="K46" s="29">
        <v>31</v>
      </c>
      <c r="L46" s="33" t="s">
        <v>22</v>
      </c>
      <c r="M46" s="32" t="s">
        <v>22</v>
      </c>
      <c r="N46" s="29">
        <v>0</v>
      </c>
      <c r="O46" s="29">
        <v>63</v>
      </c>
      <c r="P46" s="29">
        <v>756</v>
      </c>
      <c r="Q46" s="29">
        <v>40</v>
      </c>
      <c r="R46" s="33" t="s">
        <v>22</v>
      </c>
      <c r="S46" s="32" t="s">
        <v>22</v>
      </c>
      <c r="T46" s="29">
        <v>0</v>
      </c>
      <c r="U46" s="34">
        <v>12</v>
      </c>
      <c r="V46" s="29">
        <v>216</v>
      </c>
      <c r="W46" s="29">
        <v>0</v>
      </c>
      <c r="X46" s="33" t="s">
        <v>22</v>
      </c>
      <c r="Y46" s="29">
        <v>1584</v>
      </c>
      <c r="Z46" s="29">
        <v>71</v>
      </c>
    </row>
    <row r="47" spans="1:26" x14ac:dyDescent="0.35">
      <c r="F47" s="2">
        <v>45</v>
      </c>
      <c r="G47" s="32" t="s">
        <v>22</v>
      </c>
      <c r="H47" s="29">
        <v>0</v>
      </c>
      <c r="I47" s="34">
        <v>31</v>
      </c>
      <c r="J47" s="29">
        <v>279</v>
      </c>
      <c r="K47" s="29">
        <v>0</v>
      </c>
      <c r="L47" s="33" t="s">
        <v>22</v>
      </c>
      <c r="M47" s="32" t="s">
        <v>22</v>
      </c>
      <c r="N47" s="29">
        <v>0</v>
      </c>
      <c r="O47" s="29">
        <v>40</v>
      </c>
      <c r="P47" s="29">
        <v>480</v>
      </c>
      <c r="Q47" s="29">
        <v>17</v>
      </c>
      <c r="R47" s="33" t="s">
        <v>23</v>
      </c>
      <c r="S47" s="32" t="s">
        <v>23</v>
      </c>
      <c r="T47" s="29">
        <v>28</v>
      </c>
      <c r="U47" s="29">
        <v>28</v>
      </c>
      <c r="V47" s="29">
        <v>504</v>
      </c>
      <c r="W47" s="29">
        <v>12</v>
      </c>
      <c r="X47" s="33" t="s">
        <v>23</v>
      </c>
      <c r="Y47" s="29">
        <v>1263</v>
      </c>
      <c r="Z47" s="29">
        <v>29</v>
      </c>
    </row>
    <row r="48" spans="1:26" x14ac:dyDescent="0.35">
      <c r="F48" s="2">
        <v>46</v>
      </c>
      <c r="G48" s="32" t="s">
        <v>23</v>
      </c>
      <c r="H48" s="29">
        <v>105</v>
      </c>
      <c r="I48" s="29">
        <v>105</v>
      </c>
      <c r="J48" s="29">
        <v>945</v>
      </c>
      <c r="K48" s="29">
        <v>68</v>
      </c>
      <c r="L48" s="33" t="s">
        <v>23</v>
      </c>
      <c r="M48" s="32" t="s">
        <v>22</v>
      </c>
      <c r="N48" s="29">
        <v>0</v>
      </c>
      <c r="O48" s="34">
        <v>17</v>
      </c>
      <c r="P48" s="29">
        <v>204</v>
      </c>
      <c r="Q48" s="29">
        <v>0</v>
      </c>
      <c r="R48" s="33" t="s">
        <v>22</v>
      </c>
      <c r="S48" s="32" t="s">
        <v>22</v>
      </c>
      <c r="T48" s="29">
        <v>0</v>
      </c>
      <c r="U48" s="34">
        <v>12</v>
      </c>
      <c r="V48" s="29">
        <v>216</v>
      </c>
      <c r="W48" s="29">
        <v>0</v>
      </c>
      <c r="X48" s="33" t="s">
        <v>22</v>
      </c>
      <c r="Y48" s="29">
        <v>1365</v>
      </c>
      <c r="Z48" s="29">
        <v>68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68</v>
      </c>
      <c r="J49" s="29">
        <v>612</v>
      </c>
      <c r="K49" s="29">
        <v>31</v>
      </c>
      <c r="L49" s="33" t="s">
        <v>22</v>
      </c>
      <c r="M49" s="32" t="s">
        <v>23</v>
      </c>
      <c r="N49" s="29">
        <v>86</v>
      </c>
      <c r="O49" s="29">
        <v>86</v>
      </c>
      <c r="P49" s="29">
        <v>1032</v>
      </c>
      <c r="Q49" s="29">
        <v>63</v>
      </c>
      <c r="R49" s="33" t="s">
        <v>22</v>
      </c>
      <c r="S49" s="32" t="s">
        <v>23</v>
      </c>
      <c r="T49" s="29">
        <v>28</v>
      </c>
      <c r="U49" s="29">
        <v>28</v>
      </c>
      <c r="V49" s="29">
        <v>504</v>
      </c>
      <c r="W49" s="29">
        <v>12</v>
      </c>
      <c r="X49" s="33" t="s">
        <v>23</v>
      </c>
      <c r="Y49" s="29">
        <v>2148</v>
      </c>
      <c r="Z49" s="29">
        <v>106</v>
      </c>
    </row>
    <row r="50" spans="6:26" x14ac:dyDescent="0.35">
      <c r="F50" s="2">
        <v>48</v>
      </c>
      <c r="G50" s="32" t="s">
        <v>22</v>
      </c>
      <c r="H50" s="29">
        <v>0</v>
      </c>
      <c r="I50" s="34">
        <v>31</v>
      </c>
      <c r="J50" s="29">
        <v>279</v>
      </c>
      <c r="K50" s="29">
        <v>0</v>
      </c>
      <c r="L50" s="33" t="s">
        <v>22</v>
      </c>
      <c r="M50" s="32" t="s">
        <v>22</v>
      </c>
      <c r="N50" s="29">
        <v>0</v>
      </c>
      <c r="O50" s="29">
        <v>63</v>
      </c>
      <c r="P50" s="29">
        <v>756</v>
      </c>
      <c r="Q50" s="29">
        <v>40</v>
      </c>
      <c r="R50" s="33" t="s">
        <v>22</v>
      </c>
      <c r="S50" s="32" t="s">
        <v>22</v>
      </c>
      <c r="T50" s="29">
        <v>0</v>
      </c>
      <c r="U50" s="34">
        <v>12</v>
      </c>
      <c r="V50" s="29">
        <v>216</v>
      </c>
      <c r="W50" s="29">
        <v>0</v>
      </c>
      <c r="X50" s="33" t="s">
        <v>22</v>
      </c>
      <c r="Y50" s="29">
        <v>1251</v>
      </c>
      <c r="Z50" s="29">
        <v>40</v>
      </c>
    </row>
    <row r="51" spans="6:26" x14ac:dyDescent="0.35">
      <c r="F51" s="2">
        <v>49</v>
      </c>
      <c r="G51" s="32" t="s">
        <v>23</v>
      </c>
      <c r="H51" s="29">
        <v>105</v>
      </c>
      <c r="I51" s="29">
        <v>105</v>
      </c>
      <c r="J51" s="29">
        <v>945</v>
      </c>
      <c r="K51" s="29">
        <v>68</v>
      </c>
      <c r="L51" s="33" t="s">
        <v>23</v>
      </c>
      <c r="M51" s="32" t="s">
        <v>22</v>
      </c>
      <c r="N51" s="29">
        <v>0</v>
      </c>
      <c r="O51" s="29">
        <v>40</v>
      </c>
      <c r="P51" s="29">
        <v>480</v>
      </c>
      <c r="Q51" s="29">
        <v>17</v>
      </c>
      <c r="R51" s="33" t="s">
        <v>23</v>
      </c>
      <c r="S51" s="32" t="s">
        <v>23</v>
      </c>
      <c r="T51" s="29">
        <v>28</v>
      </c>
      <c r="U51" s="29">
        <v>28</v>
      </c>
      <c r="V51" s="29">
        <v>504</v>
      </c>
      <c r="W51" s="29">
        <v>12</v>
      </c>
      <c r="X51" s="33" t="s">
        <v>23</v>
      </c>
      <c r="Y51" s="29">
        <v>1929</v>
      </c>
      <c r="Z51" s="29">
        <v>97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68</v>
      </c>
      <c r="J52" s="29">
        <v>612</v>
      </c>
      <c r="K52" s="29">
        <v>31</v>
      </c>
      <c r="L52" s="33" t="s">
        <v>22</v>
      </c>
      <c r="M52" s="32" t="s">
        <v>22</v>
      </c>
      <c r="N52" s="29">
        <v>0</v>
      </c>
      <c r="O52" s="34">
        <v>17</v>
      </c>
      <c r="P52" s="29">
        <v>204</v>
      </c>
      <c r="Q52" s="29">
        <v>0</v>
      </c>
      <c r="R52" s="33" t="s">
        <v>22</v>
      </c>
      <c r="S52" s="32" t="s">
        <v>22</v>
      </c>
      <c r="T52" s="29">
        <v>0</v>
      </c>
      <c r="U52" s="34">
        <v>12</v>
      </c>
      <c r="V52" s="29">
        <v>216</v>
      </c>
      <c r="W52" s="29">
        <v>0</v>
      </c>
      <c r="X52" s="33" t="s">
        <v>22</v>
      </c>
      <c r="Y52" s="29">
        <v>1032</v>
      </c>
      <c r="Z52" s="29">
        <v>31</v>
      </c>
    </row>
    <row r="53" spans="6:26" x14ac:dyDescent="0.35">
      <c r="I53" s="30"/>
    </row>
  </sheetData>
  <mergeCells count="8">
    <mergeCell ref="B22:D22"/>
    <mergeCell ref="G1:L1"/>
    <mergeCell ref="M1:R1"/>
    <mergeCell ref="B21:D21"/>
    <mergeCell ref="Z1:Z2"/>
    <mergeCell ref="B20:D20"/>
    <mergeCell ref="Y1:Y2"/>
    <mergeCell ref="S1:X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ion_Tool">
                <anchor moveWithCells="1" sizeWithCells="1">
                  <from>
                    <xdr:col>0</xdr:col>
                    <xdr:colOff>952500</xdr:colOff>
                    <xdr:row>23</xdr:row>
                    <xdr:rowOff>31750</xdr:rowOff>
                  </from>
                  <to>
                    <xdr:col>0</xdr:col>
                    <xdr:colOff>2616200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simulation">
                <anchor moveWithCells="1" sizeWithCells="1">
                  <from>
                    <xdr:col>0</xdr:col>
                    <xdr:colOff>3073400</xdr:colOff>
                    <xdr:row>23</xdr:row>
                    <xdr:rowOff>38100</xdr:rowOff>
                  </from>
                  <to>
                    <xdr:col>2</xdr:col>
                    <xdr:colOff>660400</xdr:colOff>
                    <xdr:row>25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FAAA7-9214-452B-A465-0BEEC17ABF30}">
  <sheetPr codeName="Sheet11"/>
  <dimension ref="A1:O10"/>
  <sheetViews>
    <sheetView workbookViewId="0">
      <selection activeCell="B9" sqref="B9"/>
    </sheetView>
  </sheetViews>
  <sheetFormatPr defaultRowHeight="14.5" x14ac:dyDescent="0.35"/>
  <cols>
    <col min="1" max="1" width="10.453125" customWidth="1"/>
    <col min="2" max="2" width="13.6328125" customWidth="1"/>
    <col min="3" max="3" width="11" customWidth="1"/>
    <col min="4" max="4" width="12.1796875" customWidth="1"/>
    <col min="5" max="5" width="12.36328125" customWidth="1"/>
    <col min="6" max="6" width="13.90625" customWidth="1"/>
    <col min="7" max="7" width="12.453125" customWidth="1"/>
    <col min="8" max="8" width="12.26953125" customWidth="1"/>
    <col min="9" max="9" width="12.54296875" customWidth="1"/>
    <col min="10" max="10" width="10.26953125" customWidth="1"/>
    <col min="11" max="11" width="9.08984375" customWidth="1"/>
    <col min="12" max="12" width="10.90625" customWidth="1"/>
  </cols>
  <sheetData>
    <row r="1" spans="1:15" s="48" customFormat="1" ht="29" x14ac:dyDescent="0.35">
      <c r="A1" s="50" t="s">
        <v>74</v>
      </c>
      <c r="B1" s="49" t="s">
        <v>53</v>
      </c>
      <c r="C1" s="49" t="s">
        <v>75</v>
      </c>
      <c r="D1" s="49" t="s">
        <v>73</v>
      </c>
      <c r="E1" s="49" t="s">
        <v>63</v>
      </c>
      <c r="F1" s="49" t="s">
        <v>64</v>
      </c>
      <c r="G1" s="49" t="s">
        <v>65</v>
      </c>
      <c r="H1" s="49" t="s">
        <v>26</v>
      </c>
      <c r="I1" s="49" t="s">
        <v>66</v>
      </c>
      <c r="J1" s="49" t="s">
        <v>67</v>
      </c>
      <c r="K1" s="49" t="s">
        <v>68</v>
      </c>
      <c r="L1" s="49" t="s">
        <v>69</v>
      </c>
      <c r="M1" s="49" t="s">
        <v>70</v>
      </c>
      <c r="N1" s="49" t="s">
        <v>71</v>
      </c>
      <c r="O1" s="49" t="s">
        <v>72</v>
      </c>
    </row>
    <row r="2" spans="1:15" x14ac:dyDescent="0.35">
      <c r="A2" s="51" t="s">
        <v>54</v>
      </c>
      <c r="B2" s="52">
        <v>507911.75</v>
      </c>
      <c r="C2">
        <v>3460</v>
      </c>
      <c r="D2">
        <v>38</v>
      </c>
      <c r="E2" s="52">
        <v>4000</v>
      </c>
      <c r="F2" s="52">
        <v>501020</v>
      </c>
      <c r="G2" s="52">
        <v>2891.75</v>
      </c>
      <c r="H2">
        <v>5203</v>
      </c>
      <c r="I2">
        <v>13</v>
      </c>
      <c r="J2">
        <v>172</v>
      </c>
      <c r="K2">
        <v>63</v>
      </c>
      <c r="L2">
        <v>61</v>
      </c>
      <c r="M2">
        <v>74</v>
      </c>
      <c r="N2">
        <v>23</v>
      </c>
      <c r="O2">
        <v>16</v>
      </c>
    </row>
    <row r="3" spans="1:15" x14ac:dyDescent="0.35">
      <c r="A3" s="51" t="s">
        <v>55</v>
      </c>
      <c r="B3" s="52">
        <v>547882.69999999995</v>
      </c>
      <c r="C3">
        <v>3648</v>
      </c>
      <c r="D3">
        <v>44</v>
      </c>
      <c r="E3" s="52">
        <v>4400</v>
      </c>
      <c r="F3" s="52">
        <v>540480</v>
      </c>
      <c r="G3" s="53">
        <v>3002.7</v>
      </c>
      <c r="H3">
        <v>4688</v>
      </c>
      <c r="I3">
        <v>4</v>
      </c>
      <c r="J3">
        <v>148</v>
      </c>
      <c r="K3">
        <v>69</v>
      </c>
      <c r="L3">
        <v>48</v>
      </c>
      <c r="M3">
        <v>74</v>
      </c>
      <c r="N3">
        <v>23</v>
      </c>
      <c r="O3">
        <v>16</v>
      </c>
    </row>
    <row r="4" spans="1:15" x14ac:dyDescent="0.35">
      <c r="A4" s="51" t="s">
        <v>56</v>
      </c>
      <c r="B4" s="52">
        <v>548116.69999999995</v>
      </c>
      <c r="C4">
        <v>3648</v>
      </c>
      <c r="D4">
        <v>52</v>
      </c>
      <c r="E4" s="52">
        <v>5600</v>
      </c>
      <c r="F4" s="52">
        <v>540480</v>
      </c>
      <c r="G4" s="53">
        <v>2036.7</v>
      </c>
      <c r="H4">
        <v>4136</v>
      </c>
      <c r="I4">
        <v>4</v>
      </c>
      <c r="J4">
        <v>148</v>
      </c>
      <c r="K4">
        <v>46</v>
      </c>
      <c r="L4">
        <v>48</v>
      </c>
      <c r="M4">
        <v>74</v>
      </c>
      <c r="N4">
        <v>23</v>
      </c>
      <c r="O4">
        <v>16</v>
      </c>
    </row>
    <row r="5" spans="1:15" x14ac:dyDescent="0.35">
      <c r="A5" s="51" t="s">
        <v>57</v>
      </c>
      <c r="B5" s="52">
        <v>548297.5</v>
      </c>
      <c r="C5">
        <v>3648</v>
      </c>
      <c r="D5">
        <v>56</v>
      </c>
      <c r="E5" s="52">
        <v>5200</v>
      </c>
      <c r="F5" s="52">
        <v>540480</v>
      </c>
      <c r="G5" s="52">
        <v>2617.5</v>
      </c>
      <c r="H5">
        <v>3416</v>
      </c>
      <c r="I5">
        <v>0</v>
      </c>
      <c r="J5">
        <v>111</v>
      </c>
      <c r="K5">
        <v>69</v>
      </c>
      <c r="L5">
        <v>32</v>
      </c>
      <c r="M5">
        <v>74</v>
      </c>
      <c r="N5">
        <v>23</v>
      </c>
      <c r="O5">
        <v>16</v>
      </c>
    </row>
    <row r="6" spans="1:15" x14ac:dyDescent="0.35">
      <c r="A6" s="51" t="s">
        <v>58</v>
      </c>
      <c r="B6" s="52">
        <v>548381.5</v>
      </c>
      <c r="C6">
        <v>3648</v>
      </c>
      <c r="D6">
        <v>56</v>
      </c>
      <c r="E6" s="52">
        <v>5200</v>
      </c>
      <c r="F6" s="52">
        <v>540480</v>
      </c>
      <c r="G6" s="52">
        <v>2701.5</v>
      </c>
      <c r="H6">
        <v>3464</v>
      </c>
      <c r="I6">
        <v>0</v>
      </c>
      <c r="J6">
        <v>111</v>
      </c>
      <c r="K6">
        <v>69</v>
      </c>
      <c r="L6">
        <v>32</v>
      </c>
      <c r="M6">
        <v>74</v>
      </c>
      <c r="N6">
        <v>24</v>
      </c>
      <c r="O6">
        <v>16</v>
      </c>
    </row>
    <row r="7" spans="1:15" x14ac:dyDescent="0.35">
      <c r="A7" s="51" t="s">
        <v>59</v>
      </c>
      <c r="B7" s="52">
        <v>548747.5</v>
      </c>
      <c r="C7">
        <v>3648</v>
      </c>
      <c r="D7">
        <v>52</v>
      </c>
      <c r="E7" s="52">
        <v>4600</v>
      </c>
      <c r="F7" s="52">
        <v>540480</v>
      </c>
      <c r="G7" s="52">
        <v>3667.5</v>
      </c>
      <c r="H7">
        <v>4016</v>
      </c>
      <c r="I7">
        <v>4</v>
      </c>
      <c r="J7">
        <v>111</v>
      </c>
      <c r="K7">
        <v>92</v>
      </c>
      <c r="L7">
        <v>32</v>
      </c>
      <c r="M7">
        <v>74</v>
      </c>
      <c r="N7">
        <v>24</v>
      </c>
      <c r="O7">
        <v>16</v>
      </c>
    </row>
    <row r="8" spans="1:15" x14ac:dyDescent="0.35">
      <c r="A8" s="51" t="s">
        <v>60</v>
      </c>
      <c r="B8" s="52">
        <v>523090.75</v>
      </c>
      <c r="C8">
        <v>3576</v>
      </c>
      <c r="D8">
        <v>52</v>
      </c>
      <c r="E8" s="52">
        <v>4600</v>
      </c>
      <c r="F8" s="52">
        <v>515280</v>
      </c>
      <c r="G8" s="52">
        <v>3210.75</v>
      </c>
      <c r="H8">
        <v>3755</v>
      </c>
      <c r="I8">
        <v>4</v>
      </c>
      <c r="J8">
        <v>111</v>
      </c>
      <c r="K8">
        <v>86</v>
      </c>
      <c r="L8">
        <v>32</v>
      </c>
      <c r="M8">
        <v>74</v>
      </c>
      <c r="N8">
        <v>24</v>
      </c>
      <c r="O8">
        <v>16</v>
      </c>
    </row>
    <row r="9" spans="1:15" x14ac:dyDescent="0.35">
      <c r="A9" s="51" t="s">
        <v>61</v>
      </c>
      <c r="B9" s="52">
        <v>484723.75</v>
      </c>
      <c r="C9">
        <v>3468</v>
      </c>
      <c r="D9">
        <v>52</v>
      </c>
      <c r="E9" s="52">
        <v>4600</v>
      </c>
      <c r="F9" s="52">
        <v>477480</v>
      </c>
      <c r="G9" s="52">
        <v>2643.75</v>
      </c>
      <c r="H9">
        <v>3431</v>
      </c>
      <c r="I9">
        <v>0</v>
      </c>
      <c r="J9">
        <v>111</v>
      </c>
      <c r="K9">
        <v>77</v>
      </c>
      <c r="L9">
        <v>32</v>
      </c>
      <c r="M9">
        <v>74</v>
      </c>
      <c r="N9">
        <v>24</v>
      </c>
      <c r="O9">
        <v>16</v>
      </c>
    </row>
    <row r="10" spans="1:15" x14ac:dyDescent="0.35">
      <c r="A10" s="51" t="s">
        <v>62</v>
      </c>
      <c r="B10" s="52">
        <v>548203.5</v>
      </c>
      <c r="C10">
        <v>3648</v>
      </c>
      <c r="D10">
        <v>52</v>
      </c>
      <c r="E10" s="52">
        <v>4800</v>
      </c>
      <c r="F10" s="52">
        <v>540480</v>
      </c>
      <c r="G10" s="52">
        <v>2923.5</v>
      </c>
      <c r="H10">
        <v>4352</v>
      </c>
      <c r="I10">
        <v>0</v>
      </c>
      <c r="J10">
        <v>148</v>
      </c>
      <c r="K10">
        <v>69</v>
      </c>
      <c r="L10">
        <v>32</v>
      </c>
      <c r="M10">
        <v>74</v>
      </c>
      <c r="N10">
        <v>24</v>
      </c>
      <c r="O10">
        <v>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D1209-905A-4997-A46E-AE09C345620F}">
  <sheetPr codeName="Sheet7"/>
  <dimension ref="A1:Z53"/>
  <sheetViews>
    <sheetView topLeftCell="A8" zoomScale="90" zoomScaleNormal="90" workbookViewId="0">
      <selection activeCell="B21" sqref="B21:D21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172</v>
      </c>
      <c r="C3" s="16">
        <v>63</v>
      </c>
      <c r="D3" s="16">
        <v>61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22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23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23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22</v>
      </c>
      <c r="N5" s="29">
        <v>0</v>
      </c>
      <c r="O5" s="34">
        <v>1</v>
      </c>
      <c r="P5" s="29">
        <v>12</v>
      </c>
      <c r="Q5" s="29">
        <v>0</v>
      </c>
      <c r="R5" s="33" t="s">
        <v>22</v>
      </c>
      <c r="S5" s="32" t="s">
        <v>23</v>
      </c>
      <c r="T5" s="29">
        <v>61</v>
      </c>
      <c r="U5" s="29">
        <v>61</v>
      </c>
      <c r="V5" s="29">
        <v>1098</v>
      </c>
      <c r="W5" s="29">
        <v>45</v>
      </c>
      <c r="X5" s="33" t="s">
        <v>22</v>
      </c>
      <c r="Y5" s="29">
        <v>1443</v>
      </c>
      <c r="Z5" s="29">
        <v>45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17">
        <v>4</v>
      </c>
      <c r="G6" s="43" t="s">
        <v>23</v>
      </c>
      <c r="H6" s="41">
        <v>172</v>
      </c>
      <c r="I6" s="41">
        <v>172</v>
      </c>
      <c r="J6" s="41">
        <v>1548</v>
      </c>
      <c r="K6" s="41">
        <v>135</v>
      </c>
      <c r="L6" s="44" t="s">
        <v>22</v>
      </c>
      <c r="M6" s="43" t="s">
        <v>23</v>
      </c>
      <c r="N6" s="41">
        <v>63</v>
      </c>
      <c r="O6" s="41">
        <v>63</v>
      </c>
      <c r="P6" s="41">
        <v>756</v>
      </c>
      <c r="Q6" s="41">
        <v>40</v>
      </c>
      <c r="R6" s="44" t="s">
        <v>22</v>
      </c>
      <c r="S6" s="43" t="s">
        <v>22</v>
      </c>
      <c r="T6" s="41">
        <v>0</v>
      </c>
      <c r="U6" s="41">
        <v>45</v>
      </c>
      <c r="V6" s="41">
        <v>810</v>
      </c>
      <c r="W6" s="41">
        <v>29</v>
      </c>
      <c r="X6" s="44" t="s">
        <v>22</v>
      </c>
      <c r="Y6" s="41">
        <v>3114</v>
      </c>
      <c r="Z6" s="29">
        <v>204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135</v>
      </c>
      <c r="J7" s="29">
        <v>1215</v>
      </c>
      <c r="K7" s="29">
        <v>98</v>
      </c>
      <c r="L7" s="33" t="s">
        <v>22</v>
      </c>
      <c r="M7" s="32" t="s">
        <v>22</v>
      </c>
      <c r="N7" s="29">
        <v>0</v>
      </c>
      <c r="O7" s="29">
        <v>40</v>
      </c>
      <c r="P7" s="29">
        <v>480</v>
      </c>
      <c r="Q7" s="29">
        <v>17</v>
      </c>
      <c r="R7" s="33" t="s">
        <v>23</v>
      </c>
      <c r="S7" s="32" t="s">
        <v>22</v>
      </c>
      <c r="T7" s="29">
        <v>0</v>
      </c>
      <c r="U7" s="29">
        <v>29</v>
      </c>
      <c r="V7" s="29">
        <v>522</v>
      </c>
      <c r="W7" s="29">
        <v>13</v>
      </c>
      <c r="X7" s="33" t="s">
        <v>23</v>
      </c>
      <c r="Y7" s="29">
        <v>2217</v>
      </c>
      <c r="Z7" s="29">
        <v>128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98</v>
      </c>
      <c r="J8" s="29">
        <v>882</v>
      </c>
      <c r="K8" s="29">
        <v>61</v>
      </c>
      <c r="L8" s="33" t="s">
        <v>23</v>
      </c>
      <c r="M8" s="32" t="s">
        <v>22</v>
      </c>
      <c r="N8" s="29">
        <v>0</v>
      </c>
      <c r="O8" s="34">
        <v>17</v>
      </c>
      <c r="P8" s="29">
        <v>204</v>
      </c>
      <c r="Q8" s="29">
        <v>0</v>
      </c>
      <c r="R8" s="33" t="s">
        <v>22</v>
      </c>
      <c r="S8" s="32" t="s">
        <v>22</v>
      </c>
      <c r="T8" s="29">
        <v>0</v>
      </c>
      <c r="U8" s="34">
        <v>13</v>
      </c>
      <c r="V8" s="29">
        <v>234</v>
      </c>
      <c r="W8" s="29">
        <v>0</v>
      </c>
      <c r="X8" s="33" t="s">
        <v>22</v>
      </c>
      <c r="Y8" s="29">
        <v>1320</v>
      </c>
      <c r="Z8" s="29">
        <v>61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22</v>
      </c>
      <c r="H9" s="29">
        <v>0</v>
      </c>
      <c r="I9" s="29">
        <v>61</v>
      </c>
      <c r="J9" s="29">
        <v>549</v>
      </c>
      <c r="K9" s="29">
        <v>24</v>
      </c>
      <c r="L9" s="33" t="s">
        <v>22</v>
      </c>
      <c r="M9" s="32" t="s">
        <v>23</v>
      </c>
      <c r="N9" s="29">
        <v>63</v>
      </c>
      <c r="O9" s="29">
        <v>63</v>
      </c>
      <c r="P9" s="29">
        <v>756</v>
      </c>
      <c r="Q9" s="29">
        <v>40</v>
      </c>
      <c r="R9" s="33" t="s">
        <v>22</v>
      </c>
      <c r="S9" s="32" t="s">
        <v>23</v>
      </c>
      <c r="T9" s="29">
        <v>61</v>
      </c>
      <c r="U9" s="29">
        <v>61</v>
      </c>
      <c r="V9" s="29">
        <v>1098</v>
      </c>
      <c r="W9" s="29">
        <v>45</v>
      </c>
      <c r="X9" s="33" t="s">
        <v>22</v>
      </c>
      <c r="Y9" s="29">
        <v>2403</v>
      </c>
      <c r="Z9" s="29">
        <v>109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34">
        <v>24</v>
      </c>
      <c r="J10" s="29">
        <v>216</v>
      </c>
      <c r="K10" s="29">
        <v>0</v>
      </c>
      <c r="L10" s="33" t="s">
        <v>22</v>
      </c>
      <c r="M10" s="32" t="s">
        <v>22</v>
      </c>
      <c r="N10" s="29">
        <v>0</v>
      </c>
      <c r="O10" s="29">
        <v>40</v>
      </c>
      <c r="P10" s="29">
        <v>480</v>
      </c>
      <c r="Q10" s="29">
        <v>17</v>
      </c>
      <c r="R10" s="33" t="s">
        <v>23</v>
      </c>
      <c r="S10" s="32" t="s">
        <v>22</v>
      </c>
      <c r="T10" s="29">
        <v>0</v>
      </c>
      <c r="U10" s="29">
        <v>45</v>
      </c>
      <c r="V10" s="29">
        <v>810</v>
      </c>
      <c r="W10" s="29">
        <v>29</v>
      </c>
      <c r="X10" s="33" t="s">
        <v>22</v>
      </c>
      <c r="Y10" s="29">
        <v>1506</v>
      </c>
      <c r="Z10" s="29">
        <v>46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23</v>
      </c>
      <c r="H11" s="29">
        <v>172</v>
      </c>
      <c r="I11" s="29">
        <v>172</v>
      </c>
      <c r="J11" s="29">
        <v>1548</v>
      </c>
      <c r="K11" s="29">
        <v>135</v>
      </c>
      <c r="L11" s="33" t="s">
        <v>22</v>
      </c>
      <c r="M11" s="32" t="s">
        <v>22</v>
      </c>
      <c r="N11" s="29">
        <v>0</v>
      </c>
      <c r="O11" s="34">
        <v>17</v>
      </c>
      <c r="P11" s="29">
        <v>204</v>
      </c>
      <c r="Q11" s="29">
        <v>0</v>
      </c>
      <c r="R11" s="33" t="s">
        <v>22</v>
      </c>
      <c r="S11" s="32" t="s">
        <v>22</v>
      </c>
      <c r="T11" s="29">
        <v>0</v>
      </c>
      <c r="U11" s="29">
        <v>29</v>
      </c>
      <c r="V11" s="29">
        <v>522</v>
      </c>
      <c r="W11" s="29">
        <v>13</v>
      </c>
      <c r="X11" s="33" t="s">
        <v>23</v>
      </c>
      <c r="Y11" s="29">
        <v>2274</v>
      </c>
      <c r="Z11" s="29">
        <v>148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22</v>
      </c>
      <c r="H12" s="29">
        <v>0</v>
      </c>
      <c r="I12" s="29">
        <v>135</v>
      </c>
      <c r="J12" s="29">
        <v>1215</v>
      </c>
      <c r="K12" s="29">
        <v>98</v>
      </c>
      <c r="L12" s="33" t="s">
        <v>22</v>
      </c>
      <c r="M12" s="32" t="s">
        <v>23</v>
      </c>
      <c r="N12" s="29">
        <v>63</v>
      </c>
      <c r="O12" s="29">
        <v>63</v>
      </c>
      <c r="P12" s="29">
        <v>756</v>
      </c>
      <c r="Q12" s="29">
        <v>40</v>
      </c>
      <c r="R12" s="33" t="s">
        <v>22</v>
      </c>
      <c r="S12" s="32" t="s">
        <v>22</v>
      </c>
      <c r="T12" s="29">
        <v>0</v>
      </c>
      <c r="U12" s="34">
        <v>13</v>
      </c>
      <c r="V12" s="29">
        <v>234</v>
      </c>
      <c r="W12" s="29">
        <v>0</v>
      </c>
      <c r="X12" s="33" t="s">
        <v>22</v>
      </c>
      <c r="Y12" s="29">
        <v>2205</v>
      </c>
      <c r="Z12" s="29">
        <v>138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98</v>
      </c>
      <c r="J13" s="29">
        <v>882</v>
      </c>
      <c r="K13" s="29">
        <v>61</v>
      </c>
      <c r="L13" s="33" t="s">
        <v>23</v>
      </c>
      <c r="M13" s="32" t="s">
        <v>22</v>
      </c>
      <c r="N13" s="29">
        <v>0</v>
      </c>
      <c r="O13" s="29">
        <v>40</v>
      </c>
      <c r="P13" s="29">
        <v>480</v>
      </c>
      <c r="Q13" s="29">
        <v>17</v>
      </c>
      <c r="R13" s="33" t="s">
        <v>23</v>
      </c>
      <c r="S13" s="32" t="s">
        <v>23</v>
      </c>
      <c r="T13" s="29">
        <v>61</v>
      </c>
      <c r="U13" s="29">
        <v>61</v>
      </c>
      <c r="V13" s="29">
        <v>1098</v>
      </c>
      <c r="W13" s="29">
        <v>45</v>
      </c>
      <c r="X13" s="33" t="s">
        <v>22</v>
      </c>
      <c r="Y13" s="29">
        <v>2460</v>
      </c>
      <c r="Z13" s="29">
        <v>123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29">
        <v>61</v>
      </c>
      <c r="J14" s="29">
        <v>549</v>
      </c>
      <c r="K14" s="29">
        <v>24</v>
      </c>
      <c r="L14" s="33" t="s">
        <v>22</v>
      </c>
      <c r="M14" s="32" t="s">
        <v>22</v>
      </c>
      <c r="N14" s="29">
        <v>0</v>
      </c>
      <c r="O14" s="34">
        <v>17</v>
      </c>
      <c r="P14" s="29">
        <v>204</v>
      </c>
      <c r="Q14" s="29">
        <v>0</v>
      </c>
      <c r="R14" s="33" t="s">
        <v>22</v>
      </c>
      <c r="S14" s="32" t="s">
        <v>22</v>
      </c>
      <c r="T14" s="29">
        <v>0</v>
      </c>
      <c r="U14" s="29">
        <v>45</v>
      </c>
      <c r="V14" s="29">
        <v>810</v>
      </c>
      <c r="W14" s="29">
        <v>29</v>
      </c>
      <c r="X14" s="33" t="s">
        <v>22</v>
      </c>
      <c r="Y14" s="29">
        <v>1563</v>
      </c>
      <c r="Z14" s="29">
        <v>53</v>
      </c>
    </row>
    <row r="15" spans="1:26" ht="15" thickBot="1" x14ac:dyDescent="0.4">
      <c r="A15" s="19" t="s">
        <v>28</v>
      </c>
      <c r="B15" s="26">
        <v>1720</v>
      </c>
      <c r="C15" s="26">
        <v>1008</v>
      </c>
      <c r="D15" s="26">
        <v>732</v>
      </c>
      <c r="E15" s="37">
        <v>3460</v>
      </c>
      <c r="F15" s="2">
        <v>13</v>
      </c>
      <c r="G15" s="32" t="s">
        <v>22</v>
      </c>
      <c r="H15" s="29">
        <v>0</v>
      </c>
      <c r="I15" s="34">
        <v>24</v>
      </c>
      <c r="J15" s="29">
        <v>216</v>
      </c>
      <c r="K15" s="29">
        <v>0</v>
      </c>
      <c r="L15" s="33" t="s">
        <v>22</v>
      </c>
      <c r="M15" s="32" t="s">
        <v>23</v>
      </c>
      <c r="N15" s="29">
        <v>63</v>
      </c>
      <c r="O15" s="29">
        <v>63</v>
      </c>
      <c r="P15" s="29">
        <v>756</v>
      </c>
      <c r="Q15" s="29">
        <v>40</v>
      </c>
      <c r="R15" s="33" t="s">
        <v>22</v>
      </c>
      <c r="S15" s="32" t="s">
        <v>22</v>
      </c>
      <c r="T15" s="29">
        <v>0</v>
      </c>
      <c r="U15" s="29">
        <v>29</v>
      </c>
      <c r="V15" s="29">
        <v>522</v>
      </c>
      <c r="W15" s="29">
        <v>13</v>
      </c>
      <c r="X15" s="33" t="s">
        <v>23</v>
      </c>
      <c r="Y15" s="29">
        <v>1494</v>
      </c>
      <c r="Z15" s="29">
        <v>53</v>
      </c>
    </row>
    <row r="16" spans="1:26" ht="15" thickBot="1" x14ac:dyDescent="0.4">
      <c r="A16" s="18" t="s">
        <v>27</v>
      </c>
      <c r="B16" s="27">
        <v>10</v>
      </c>
      <c r="C16" s="27">
        <v>16</v>
      </c>
      <c r="D16" s="28">
        <v>12</v>
      </c>
      <c r="E16" s="37">
        <v>38</v>
      </c>
      <c r="F16" s="2">
        <v>14</v>
      </c>
      <c r="G16" s="32" t="s">
        <v>23</v>
      </c>
      <c r="H16" s="29">
        <v>172</v>
      </c>
      <c r="I16" s="29">
        <v>172</v>
      </c>
      <c r="J16" s="29">
        <v>1548</v>
      </c>
      <c r="K16" s="29">
        <v>135</v>
      </c>
      <c r="L16" s="33" t="s">
        <v>22</v>
      </c>
      <c r="M16" s="32" t="s">
        <v>22</v>
      </c>
      <c r="N16" s="29">
        <v>0</v>
      </c>
      <c r="O16" s="29">
        <v>40</v>
      </c>
      <c r="P16" s="29">
        <v>480</v>
      </c>
      <c r="Q16" s="29">
        <v>17</v>
      </c>
      <c r="R16" s="33" t="s">
        <v>23</v>
      </c>
      <c r="S16" s="32" t="s">
        <v>22</v>
      </c>
      <c r="T16" s="29">
        <v>0</v>
      </c>
      <c r="U16" s="34">
        <v>13</v>
      </c>
      <c r="V16" s="29">
        <v>234</v>
      </c>
      <c r="W16" s="29">
        <v>0</v>
      </c>
      <c r="X16" s="33" t="s">
        <v>22</v>
      </c>
      <c r="Y16" s="29">
        <v>2262</v>
      </c>
      <c r="Z16" s="29">
        <v>152</v>
      </c>
    </row>
    <row r="17" spans="1:26" ht="15" thickBot="1" x14ac:dyDescent="0.4">
      <c r="A17" s="11" t="s">
        <v>24</v>
      </c>
      <c r="B17" s="24">
        <v>1000</v>
      </c>
      <c r="C17" s="24">
        <v>2400</v>
      </c>
      <c r="D17" s="24">
        <v>600</v>
      </c>
      <c r="E17" s="25">
        <v>4000</v>
      </c>
      <c r="F17" s="17">
        <v>15</v>
      </c>
      <c r="G17" s="43" t="s">
        <v>22</v>
      </c>
      <c r="H17" s="41">
        <v>0</v>
      </c>
      <c r="I17" s="41">
        <v>135</v>
      </c>
      <c r="J17" s="41">
        <v>1215</v>
      </c>
      <c r="K17" s="41">
        <v>98</v>
      </c>
      <c r="L17" s="44" t="s">
        <v>22</v>
      </c>
      <c r="M17" s="43" t="s">
        <v>22</v>
      </c>
      <c r="N17" s="41">
        <v>0</v>
      </c>
      <c r="O17" s="41">
        <v>17</v>
      </c>
      <c r="P17" s="41">
        <v>204</v>
      </c>
      <c r="Q17" s="41">
        <v>0</v>
      </c>
      <c r="R17" s="44" t="s">
        <v>22</v>
      </c>
      <c r="S17" s="43" t="s">
        <v>23</v>
      </c>
      <c r="T17" s="41">
        <v>61</v>
      </c>
      <c r="U17" s="41">
        <v>61</v>
      </c>
      <c r="V17" s="41">
        <v>1098</v>
      </c>
      <c r="W17" s="41">
        <v>45</v>
      </c>
      <c r="X17" s="44" t="s">
        <v>22</v>
      </c>
      <c r="Y17" s="41">
        <v>2517</v>
      </c>
      <c r="Z17" s="29">
        <v>143</v>
      </c>
    </row>
    <row r="18" spans="1:26" ht="15" thickBot="1" x14ac:dyDescent="0.4">
      <c r="A18" s="11" t="s">
        <v>29</v>
      </c>
      <c r="B18" s="24">
        <v>86000</v>
      </c>
      <c r="C18" s="24">
        <v>352800</v>
      </c>
      <c r="D18" s="24">
        <v>62220</v>
      </c>
      <c r="E18" s="25">
        <v>501020</v>
      </c>
      <c r="F18" s="2">
        <v>16</v>
      </c>
      <c r="G18" s="32" t="s">
        <v>22</v>
      </c>
      <c r="H18" s="29">
        <v>0</v>
      </c>
      <c r="I18" s="29">
        <v>98</v>
      </c>
      <c r="J18" s="29">
        <v>882</v>
      </c>
      <c r="K18" s="29">
        <v>61</v>
      </c>
      <c r="L18" s="33" t="s">
        <v>23</v>
      </c>
      <c r="M18" s="32" t="s">
        <v>23</v>
      </c>
      <c r="N18" s="29">
        <v>63</v>
      </c>
      <c r="O18" s="29">
        <v>63</v>
      </c>
      <c r="P18" s="29">
        <v>756</v>
      </c>
      <c r="Q18" s="29">
        <v>40</v>
      </c>
      <c r="R18" s="33" t="s">
        <v>22</v>
      </c>
      <c r="S18" s="32" t="s">
        <v>22</v>
      </c>
      <c r="T18" s="29">
        <v>0</v>
      </c>
      <c r="U18" s="29">
        <v>45</v>
      </c>
      <c r="V18" s="29">
        <v>810</v>
      </c>
      <c r="W18" s="29">
        <v>29</v>
      </c>
      <c r="X18" s="33" t="s">
        <v>22</v>
      </c>
      <c r="Y18" s="29">
        <v>2448</v>
      </c>
      <c r="Z18" s="29">
        <v>130</v>
      </c>
    </row>
    <row r="19" spans="1:26" ht="15" thickBot="1" x14ac:dyDescent="0.4">
      <c r="A19" s="20" t="s">
        <v>30</v>
      </c>
      <c r="B19" s="25">
        <v>801.5</v>
      </c>
      <c r="C19" s="25">
        <v>1639.75</v>
      </c>
      <c r="D19" s="25">
        <v>450.49999999999983</v>
      </c>
      <c r="E19" s="25">
        <v>2891.75</v>
      </c>
      <c r="F19" s="2">
        <v>17</v>
      </c>
      <c r="G19" s="32" t="s">
        <v>22</v>
      </c>
      <c r="H19" s="29">
        <v>0</v>
      </c>
      <c r="I19" s="29">
        <v>61</v>
      </c>
      <c r="J19" s="29">
        <v>549</v>
      </c>
      <c r="K19" s="29">
        <v>24</v>
      </c>
      <c r="L19" s="33" t="s">
        <v>22</v>
      </c>
      <c r="M19" s="32" t="s">
        <v>22</v>
      </c>
      <c r="N19" s="29">
        <v>0</v>
      </c>
      <c r="O19" s="29">
        <v>40</v>
      </c>
      <c r="P19" s="29">
        <v>480</v>
      </c>
      <c r="Q19" s="29">
        <v>17</v>
      </c>
      <c r="R19" s="33" t="s">
        <v>23</v>
      </c>
      <c r="S19" s="32" t="s">
        <v>22</v>
      </c>
      <c r="T19" s="29">
        <v>0</v>
      </c>
      <c r="U19" s="29">
        <v>29</v>
      </c>
      <c r="V19" s="29">
        <v>522</v>
      </c>
      <c r="W19" s="29">
        <v>13</v>
      </c>
      <c r="X19" s="33" t="s">
        <v>23</v>
      </c>
      <c r="Y19" s="29">
        <v>1551</v>
      </c>
      <c r="Z19" s="29">
        <v>54</v>
      </c>
    </row>
    <row r="20" spans="1:26" ht="15" thickBot="1" x14ac:dyDescent="0.4">
      <c r="A20" s="23" t="s">
        <v>32</v>
      </c>
      <c r="B20" s="67">
        <v>5203</v>
      </c>
      <c r="C20" s="68"/>
      <c r="D20" s="69"/>
      <c r="F20" s="2">
        <v>18</v>
      </c>
      <c r="G20" s="32" t="s">
        <v>22</v>
      </c>
      <c r="H20" s="29">
        <v>0</v>
      </c>
      <c r="I20" s="34">
        <v>24</v>
      </c>
      <c r="J20" s="29">
        <v>216</v>
      </c>
      <c r="K20" s="29">
        <v>0</v>
      </c>
      <c r="L20" s="33" t="s">
        <v>22</v>
      </c>
      <c r="M20" s="32" t="s">
        <v>22</v>
      </c>
      <c r="N20" s="29">
        <v>0</v>
      </c>
      <c r="O20" s="34">
        <v>17</v>
      </c>
      <c r="P20" s="29">
        <v>204</v>
      </c>
      <c r="Q20" s="29">
        <v>0</v>
      </c>
      <c r="R20" s="33" t="s">
        <v>22</v>
      </c>
      <c r="S20" s="32" t="s">
        <v>22</v>
      </c>
      <c r="T20" s="29">
        <v>0</v>
      </c>
      <c r="U20" s="34">
        <v>13</v>
      </c>
      <c r="V20" s="29">
        <v>234</v>
      </c>
      <c r="W20" s="29">
        <v>0</v>
      </c>
      <c r="X20" s="33" t="s">
        <v>22</v>
      </c>
      <c r="Y20" s="29">
        <v>654</v>
      </c>
      <c r="Z20" s="29">
        <v>0</v>
      </c>
    </row>
    <row r="21" spans="1:26" ht="15" thickBot="1" x14ac:dyDescent="0.4">
      <c r="A21" s="21" t="s">
        <v>25</v>
      </c>
      <c r="B21" s="63">
        <v>507911.75</v>
      </c>
      <c r="C21" s="64"/>
      <c r="D21" s="65"/>
      <c r="F21" s="17">
        <v>19</v>
      </c>
      <c r="G21" s="43" t="s">
        <v>23</v>
      </c>
      <c r="H21" s="41">
        <v>172</v>
      </c>
      <c r="I21" s="41">
        <v>172</v>
      </c>
      <c r="J21" s="41">
        <v>1548</v>
      </c>
      <c r="K21" s="41">
        <v>135</v>
      </c>
      <c r="L21" s="44" t="s">
        <v>22</v>
      </c>
      <c r="M21" s="43" t="s">
        <v>23</v>
      </c>
      <c r="N21" s="41">
        <v>63</v>
      </c>
      <c r="O21" s="41">
        <v>63</v>
      </c>
      <c r="P21" s="41">
        <v>756</v>
      </c>
      <c r="Q21" s="41">
        <v>40</v>
      </c>
      <c r="R21" s="44" t="s">
        <v>22</v>
      </c>
      <c r="S21" s="43" t="s">
        <v>23</v>
      </c>
      <c r="T21" s="41">
        <v>61</v>
      </c>
      <c r="U21" s="41">
        <v>61</v>
      </c>
      <c r="V21" s="41">
        <v>1098</v>
      </c>
      <c r="W21" s="41">
        <v>45</v>
      </c>
      <c r="X21" s="44" t="s">
        <v>22</v>
      </c>
      <c r="Y21" s="41">
        <v>3402</v>
      </c>
      <c r="Z21" s="29">
        <v>220</v>
      </c>
    </row>
    <row r="22" spans="1:26" ht="15" thickBot="1" x14ac:dyDescent="0.4">
      <c r="A22" s="22" t="s">
        <v>20</v>
      </c>
      <c r="B22" s="54">
        <v>13</v>
      </c>
      <c r="C22" s="55"/>
      <c r="D22" s="56"/>
      <c r="F22" s="17">
        <v>20</v>
      </c>
      <c r="G22" s="43" t="s">
        <v>22</v>
      </c>
      <c r="H22" s="41">
        <v>0</v>
      </c>
      <c r="I22" s="41">
        <v>135</v>
      </c>
      <c r="J22" s="41">
        <v>1215</v>
      </c>
      <c r="K22" s="41">
        <v>98</v>
      </c>
      <c r="L22" s="44" t="s">
        <v>22</v>
      </c>
      <c r="M22" s="43" t="s">
        <v>22</v>
      </c>
      <c r="N22" s="41">
        <v>0</v>
      </c>
      <c r="O22" s="41">
        <v>40</v>
      </c>
      <c r="P22" s="41">
        <v>480</v>
      </c>
      <c r="Q22" s="41">
        <v>17</v>
      </c>
      <c r="R22" s="44" t="s">
        <v>23</v>
      </c>
      <c r="S22" s="43" t="s">
        <v>22</v>
      </c>
      <c r="T22" s="41">
        <v>0</v>
      </c>
      <c r="U22" s="41">
        <v>45</v>
      </c>
      <c r="V22" s="41">
        <v>810</v>
      </c>
      <c r="W22" s="41">
        <v>29</v>
      </c>
      <c r="X22" s="44" t="s">
        <v>22</v>
      </c>
      <c r="Y22" s="41">
        <v>2505</v>
      </c>
      <c r="Z22" s="29">
        <v>144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98</v>
      </c>
      <c r="J23" s="29">
        <v>882</v>
      </c>
      <c r="K23" s="29">
        <v>61</v>
      </c>
      <c r="L23" s="33" t="s">
        <v>23</v>
      </c>
      <c r="M23" s="32" t="s">
        <v>22</v>
      </c>
      <c r="N23" s="29">
        <v>0</v>
      </c>
      <c r="O23" s="34">
        <v>17</v>
      </c>
      <c r="P23" s="29">
        <v>204</v>
      </c>
      <c r="Q23" s="29">
        <v>0</v>
      </c>
      <c r="R23" s="33" t="s">
        <v>22</v>
      </c>
      <c r="S23" s="32" t="s">
        <v>22</v>
      </c>
      <c r="T23" s="29">
        <v>0</v>
      </c>
      <c r="U23" s="29">
        <v>29</v>
      </c>
      <c r="V23" s="29">
        <v>522</v>
      </c>
      <c r="W23" s="29">
        <v>13</v>
      </c>
      <c r="X23" s="33" t="s">
        <v>23</v>
      </c>
      <c r="Y23" s="29">
        <v>1608</v>
      </c>
      <c r="Z23" s="29">
        <v>74</v>
      </c>
    </row>
    <row r="24" spans="1:26" x14ac:dyDescent="0.35">
      <c r="A24" s="38"/>
      <c r="B24" s="30"/>
      <c r="C24" s="30"/>
      <c r="D24" s="30"/>
      <c r="F24" s="2">
        <v>22</v>
      </c>
      <c r="G24" s="32" t="s">
        <v>22</v>
      </c>
      <c r="H24" s="29">
        <v>0</v>
      </c>
      <c r="I24" s="29">
        <v>61</v>
      </c>
      <c r="J24" s="29">
        <v>549</v>
      </c>
      <c r="K24" s="29">
        <v>24</v>
      </c>
      <c r="L24" s="33" t="s">
        <v>22</v>
      </c>
      <c r="M24" s="32" t="s">
        <v>23</v>
      </c>
      <c r="N24" s="29">
        <v>63</v>
      </c>
      <c r="O24" s="29">
        <v>63</v>
      </c>
      <c r="P24" s="29">
        <v>756</v>
      </c>
      <c r="Q24" s="29">
        <v>40</v>
      </c>
      <c r="R24" s="33" t="s">
        <v>22</v>
      </c>
      <c r="S24" s="32" t="s">
        <v>22</v>
      </c>
      <c r="T24" s="29">
        <v>0</v>
      </c>
      <c r="U24" s="34">
        <v>13</v>
      </c>
      <c r="V24" s="29">
        <v>234</v>
      </c>
      <c r="W24" s="29">
        <v>0</v>
      </c>
      <c r="X24" s="33" t="s">
        <v>22</v>
      </c>
      <c r="Y24" s="29">
        <v>1539</v>
      </c>
      <c r="Z24" s="29">
        <v>64</v>
      </c>
    </row>
    <row r="25" spans="1:26" x14ac:dyDescent="0.35">
      <c r="A25" s="31" t="s">
        <v>37</v>
      </c>
      <c r="F25" s="2">
        <v>23</v>
      </c>
      <c r="G25" s="32" t="s">
        <v>22</v>
      </c>
      <c r="H25" s="29">
        <v>0</v>
      </c>
      <c r="I25" s="34">
        <v>24</v>
      </c>
      <c r="J25" s="29">
        <v>216</v>
      </c>
      <c r="K25" s="29">
        <v>0</v>
      </c>
      <c r="L25" s="33" t="s">
        <v>22</v>
      </c>
      <c r="M25" s="32" t="s">
        <v>22</v>
      </c>
      <c r="N25" s="29">
        <v>0</v>
      </c>
      <c r="O25" s="29">
        <v>40</v>
      </c>
      <c r="P25" s="29">
        <v>480</v>
      </c>
      <c r="Q25" s="29">
        <v>17</v>
      </c>
      <c r="R25" s="33" t="s">
        <v>23</v>
      </c>
      <c r="S25" s="32" t="s">
        <v>23</v>
      </c>
      <c r="T25" s="29">
        <v>61</v>
      </c>
      <c r="U25" s="29">
        <v>61</v>
      </c>
      <c r="V25" s="29">
        <v>1098</v>
      </c>
      <c r="W25" s="29">
        <v>45</v>
      </c>
      <c r="X25" s="33" t="s">
        <v>22</v>
      </c>
      <c r="Y25" s="29">
        <v>1794</v>
      </c>
      <c r="Z25" s="29">
        <v>62</v>
      </c>
    </row>
    <row r="26" spans="1:26" x14ac:dyDescent="0.35">
      <c r="A26" s="29" t="s">
        <v>33</v>
      </c>
      <c r="B26" s="30">
        <f>SQRT((2*B9*B7)/(B8*0.25/50))</f>
        <v>172.04650534085255</v>
      </c>
      <c r="C26" s="30">
        <f>SQRT((2*C9*C7)/(C8*0.25/50))</f>
        <v>62.792174216674027</v>
      </c>
      <c r="D26" s="30">
        <f>SQRT((2*D9*D7)/(D8*0.25/50))</f>
        <v>61.35719910778964</v>
      </c>
      <c r="F26" s="17">
        <v>24</v>
      </c>
      <c r="G26" s="43" t="s">
        <v>23</v>
      </c>
      <c r="H26" s="41">
        <v>172</v>
      </c>
      <c r="I26" s="41">
        <v>172</v>
      </c>
      <c r="J26" s="41">
        <v>1548</v>
      </c>
      <c r="K26" s="41">
        <v>135</v>
      </c>
      <c r="L26" s="44" t="s">
        <v>22</v>
      </c>
      <c r="M26" s="43" t="s">
        <v>22</v>
      </c>
      <c r="N26" s="41">
        <v>0</v>
      </c>
      <c r="O26" s="41">
        <v>17</v>
      </c>
      <c r="P26" s="41">
        <v>204</v>
      </c>
      <c r="Q26" s="41">
        <v>0</v>
      </c>
      <c r="R26" s="44" t="s">
        <v>22</v>
      </c>
      <c r="S26" s="43" t="s">
        <v>22</v>
      </c>
      <c r="T26" s="41">
        <v>0</v>
      </c>
      <c r="U26" s="41">
        <v>45</v>
      </c>
      <c r="V26" s="41">
        <v>810</v>
      </c>
      <c r="W26" s="41">
        <v>29</v>
      </c>
      <c r="X26" s="44" t="s">
        <v>22</v>
      </c>
      <c r="Y26" s="41">
        <v>2562</v>
      </c>
      <c r="Z26" s="29">
        <v>164</v>
      </c>
    </row>
    <row r="27" spans="1:26" x14ac:dyDescent="0.35">
      <c r="A27" s="29" t="s">
        <v>34</v>
      </c>
      <c r="B27" s="29">
        <f>B7*B11</f>
        <v>74</v>
      </c>
      <c r="C27" s="29">
        <f>C7*C11</f>
        <v>23</v>
      </c>
      <c r="D27" s="29">
        <f>D7*D11</f>
        <v>16</v>
      </c>
      <c r="F27" s="2">
        <v>25</v>
      </c>
      <c r="G27" s="32" t="s">
        <v>22</v>
      </c>
      <c r="H27" s="29">
        <v>0</v>
      </c>
      <c r="I27" s="29">
        <v>135</v>
      </c>
      <c r="J27" s="29">
        <v>1215</v>
      </c>
      <c r="K27" s="29">
        <v>98</v>
      </c>
      <c r="L27" s="33" t="s">
        <v>22</v>
      </c>
      <c r="M27" s="32" t="s">
        <v>23</v>
      </c>
      <c r="N27" s="29">
        <v>63</v>
      </c>
      <c r="O27" s="29">
        <v>63</v>
      </c>
      <c r="P27" s="29">
        <v>756</v>
      </c>
      <c r="Q27" s="29">
        <v>40</v>
      </c>
      <c r="R27" s="33" t="s">
        <v>22</v>
      </c>
      <c r="S27" s="32" t="s">
        <v>22</v>
      </c>
      <c r="T27" s="29">
        <v>0</v>
      </c>
      <c r="U27" s="29">
        <v>29</v>
      </c>
      <c r="V27" s="29">
        <v>522</v>
      </c>
      <c r="W27" s="29">
        <v>13</v>
      </c>
      <c r="X27" s="33" t="s">
        <v>23</v>
      </c>
      <c r="Y27" s="29">
        <v>2493</v>
      </c>
      <c r="Z27" s="29">
        <v>151</v>
      </c>
    </row>
    <row r="28" spans="1:26" x14ac:dyDescent="0.35">
      <c r="F28" s="2">
        <v>26</v>
      </c>
      <c r="G28" s="32" t="s">
        <v>22</v>
      </c>
      <c r="H28" s="29">
        <v>0</v>
      </c>
      <c r="I28" s="29">
        <v>98</v>
      </c>
      <c r="J28" s="29">
        <v>882</v>
      </c>
      <c r="K28" s="29">
        <v>61</v>
      </c>
      <c r="L28" s="33" t="s">
        <v>23</v>
      </c>
      <c r="M28" s="32" t="s">
        <v>22</v>
      </c>
      <c r="N28" s="29">
        <v>0</v>
      </c>
      <c r="O28" s="29">
        <v>40</v>
      </c>
      <c r="P28" s="29">
        <v>480</v>
      </c>
      <c r="Q28" s="29">
        <v>17</v>
      </c>
      <c r="R28" s="33" t="s">
        <v>23</v>
      </c>
      <c r="S28" s="32" t="s">
        <v>22</v>
      </c>
      <c r="T28" s="29">
        <v>0</v>
      </c>
      <c r="U28" s="34">
        <v>13</v>
      </c>
      <c r="V28" s="29">
        <v>234</v>
      </c>
      <c r="W28" s="29">
        <v>0</v>
      </c>
      <c r="X28" s="33" t="s">
        <v>22</v>
      </c>
      <c r="Y28" s="29">
        <v>1596</v>
      </c>
      <c r="Z28" s="29">
        <v>78</v>
      </c>
    </row>
    <row r="29" spans="1:26" x14ac:dyDescent="0.35">
      <c r="A29" s="38" t="s">
        <v>40</v>
      </c>
      <c r="B29" s="41"/>
      <c r="F29" s="2">
        <v>27</v>
      </c>
      <c r="G29" s="32" t="s">
        <v>22</v>
      </c>
      <c r="H29" s="29">
        <v>0</v>
      </c>
      <c r="I29" s="29">
        <v>61</v>
      </c>
      <c r="J29" s="29">
        <v>549</v>
      </c>
      <c r="K29" s="29">
        <v>24</v>
      </c>
      <c r="L29" s="33" t="s">
        <v>22</v>
      </c>
      <c r="M29" s="32" t="s">
        <v>22</v>
      </c>
      <c r="N29" s="29">
        <v>0</v>
      </c>
      <c r="O29" s="34">
        <v>17</v>
      </c>
      <c r="P29" s="29">
        <v>204</v>
      </c>
      <c r="Q29" s="29">
        <v>0</v>
      </c>
      <c r="R29" s="33" t="s">
        <v>22</v>
      </c>
      <c r="S29" s="32" t="s">
        <v>23</v>
      </c>
      <c r="T29" s="29">
        <v>61</v>
      </c>
      <c r="U29" s="29">
        <v>61</v>
      </c>
      <c r="V29" s="29">
        <v>1098</v>
      </c>
      <c r="W29" s="29">
        <v>45</v>
      </c>
      <c r="X29" s="33" t="s">
        <v>22</v>
      </c>
      <c r="Y29" s="29">
        <v>1851</v>
      </c>
      <c r="Z29" s="29">
        <v>69</v>
      </c>
    </row>
    <row r="30" spans="1:26" x14ac:dyDescent="0.35">
      <c r="A30" s="38" t="s">
        <v>41</v>
      </c>
      <c r="B30" s="34"/>
      <c r="F30" s="2">
        <v>28</v>
      </c>
      <c r="G30" s="32" t="s">
        <v>22</v>
      </c>
      <c r="H30" s="29">
        <v>0</v>
      </c>
      <c r="I30" s="34">
        <v>24</v>
      </c>
      <c r="J30" s="29">
        <v>216</v>
      </c>
      <c r="K30" s="29">
        <v>0</v>
      </c>
      <c r="L30" s="33" t="s">
        <v>22</v>
      </c>
      <c r="M30" s="32" t="s">
        <v>23</v>
      </c>
      <c r="N30" s="29">
        <v>63</v>
      </c>
      <c r="O30" s="29">
        <v>63</v>
      </c>
      <c r="P30" s="29">
        <v>756</v>
      </c>
      <c r="Q30" s="29">
        <v>40</v>
      </c>
      <c r="R30" s="33" t="s">
        <v>22</v>
      </c>
      <c r="S30" s="32" t="s">
        <v>22</v>
      </c>
      <c r="T30" s="29">
        <v>0</v>
      </c>
      <c r="U30" s="29">
        <v>45</v>
      </c>
      <c r="V30" s="29">
        <v>810</v>
      </c>
      <c r="W30" s="29">
        <v>29</v>
      </c>
      <c r="X30" s="33" t="s">
        <v>22</v>
      </c>
      <c r="Y30" s="29">
        <v>1782</v>
      </c>
      <c r="Z30" s="29">
        <v>69</v>
      </c>
    </row>
    <row r="31" spans="1:26" x14ac:dyDescent="0.35">
      <c r="F31" s="17">
        <v>29</v>
      </c>
      <c r="G31" s="43" t="s">
        <v>23</v>
      </c>
      <c r="H31" s="41">
        <v>172</v>
      </c>
      <c r="I31" s="41">
        <v>172</v>
      </c>
      <c r="J31" s="41">
        <v>1548</v>
      </c>
      <c r="K31" s="41">
        <v>135</v>
      </c>
      <c r="L31" s="44" t="s">
        <v>22</v>
      </c>
      <c r="M31" s="43" t="s">
        <v>22</v>
      </c>
      <c r="N31" s="41">
        <v>0</v>
      </c>
      <c r="O31" s="41">
        <v>40</v>
      </c>
      <c r="P31" s="41">
        <v>480</v>
      </c>
      <c r="Q31" s="41">
        <v>17</v>
      </c>
      <c r="R31" s="44" t="s">
        <v>23</v>
      </c>
      <c r="S31" s="43" t="s">
        <v>22</v>
      </c>
      <c r="T31" s="41">
        <v>0</v>
      </c>
      <c r="U31" s="41">
        <v>29</v>
      </c>
      <c r="V31" s="41">
        <v>522</v>
      </c>
      <c r="W31" s="41">
        <v>13</v>
      </c>
      <c r="X31" s="44" t="s">
        <v>23</v>
      </c>
      <c r="Y31" s="41">
        <v>2550</v>
      </c>
      <c r="Z31" s="29">
        <v>165</v>
      </c>
    </row>
    <row r="32" spans="1:26" x14ac:dyDescent="0.35">
      <c r="E32" s="30"/>
      <c r="F32" s="2">
        <v>30</v>
      </c>
      <c r="G32" s="32" t="s">
        <v>22</v>
      </c>
      <c r="H32" s="29">
        <v>0</v>
      </c>
      <c r="I32" s="29">
        <v>135</v>
      </c>
      <c r="J32" s="29">
        <v>1215</v>
      </c>
      <c r="K32" s="29">
        <v>98</v>
      </c>
      <c r="L32" s="33" t="s">
        <v>22</v>
      </c>
      <c r="M32" s="32" t="s">
        <v>22</v>
      </c>
      <c r="N32" s="29">
        <v>0</v>
      </c>
      <c r="O32" s="34">
        <v>17</v>
      </c>
      <c r="P32" s="29">
        <v>204</v>
      </c>
      <c r="Q32" s="29">
        <v>0</v>
      </c>
      <c r="R32" s="33" t="s">
        <v>22</v>
      </c>
      <c r="S32" s="32" t="s">
        <v>22</v>
      </c>
      <c r="T32" s="29">
        <v>0</v>
      </c>
      <c r="U32" s="34">
        <v>13</v>
      </c>
      <c r="V32" s="29">
        <v>234</v>
      </c>
      <c r="W32" s="29">
        <v>0</v>
      </c>
      <c r="X32" s="33" t="s">
        <v>22</v>
      </c>
      <c r="Y32" s="29">
        <v>1653</v>
      </c>
      <c r="Z32" s="29">
        <v>98</v>
      </c>
    </row>
    <row r="33" spans="6:26" x14ac:dyDescent="0.35">
      <c r="F33" s="17">
        <v>31</v>
      </c>
      <c r="G33" s="43" t="s">
        <v>22</v>
      </c>
      <c r="H33" s="41">
        <v>0</v>
      </c>
      <c r="I33" s="41">
        <v>98</v>
      </c>
      <c r="J33" s="41">
        <v>882</v>
      </c>
      <c r="K33" s="41">
        <v>61</v>
      </c>
      <c r="L33" s="44" t="s">
        <v>23</v>
      </c>
      <c r="M33" s="43" t="s">
        <v>23</v>
      </c>
      <c r="N33" s="41">
        <v>63</v>
      </c>
      <c r="O33" s="41">
        <v>63</v>
      </c>
      <c r="P33" s="41">
        <v>756</v>
      </c>
      <c r="Q33" s="41">
        <v>40</v>
      </c>
      <c r="R33" s="44" t="s">
        <v>22</v>
      </c>
      <c r="S33" s="43" t="s">
        <v>23</v>
      </c>
      <c r="T33" s="41">
        <v>61</v>
      </c>
      <c r="U33" s="41">
        <v>61</v>
      </c>
      <c r="V33" s="41">
        <v>1098</v>
      </c>
      <c r="W33" s="41">
        <v>45</v>
      </c>
      <c r="X33" s="44" t="s">
        <v>22</v>
      </c>
      <c r="Y33" s="41">
        <v>2736</v>
      </c>
      <c r="Z33" s="29">
        <v>146</v>
      </c>
    </row>
    <row r="34" spans="6:26" x14ac:dyDescent="0.35">
      <c r="F34" s="2">
        <v>32</v>
      </c>
      <c r="G34" s="32" t="s">
        <v>22</v>
      </c>
      <c r="H34" s="29">
        <v>0</v>
      </c>
      <c r="I34" s="29">
        <v>61</v>
      </c>
      <c r="J34" s="29">
        <v>549</v>
      </c>
      <c r="K34" s="29">
        <v>24</v>
      </c>
      <c r="L34" s="33" t="s">
        <v>22</v>
      </c>
      <c r="M34" s="32" t="s">
        <v>22</v>
      </c>
      <c r="N34" s="29">
        <v>0</v>
      </c>
      <c r="O34" s="29">
        <v>40</v>
      </c>
      <c r="P34" s="29">
        <v>480</v>
      </c>
      <c r="Q34" s="29">
        <v>17</v>
      </c>
      <c r="R34" s="33" t="s">
        <v>23</v>
      </c>
      <c r="S34" s="32" t="s">
        <v>22</v>
      </c>
      <c r="T34" s="29">
        <v>0</v>
      </c>
      <c r="U34" s="29">
        <v>45</v>
      </c>
      <c r="V34" s="29">
        <v>810</v>
      </c>
      <c r="W34" s="29">
        <v>29</v>
      </c>
      <c r="X34" s="33" t="s">
        <v>22</v>
      </c>
      <c r="Y34" s="29">
        <v>1839</v>
      </c>
      <c r="Z34" s="29">
        <v>70</v>
      </c>
    </row>
    <row r="35" spans="6:26" x14ac:dyDescent="0.35">
      <c r="F35" s="2">
        <v>33</v>
      </c>
      <c r="G35" s="32" t="s">
        <v>22</v>
      </c>
      <c r="H35" s="29">
        <v>0</v>
      </c>
      <c r="I35" s="34">
        <v>24</v>
      </c>
      <c r="J35" s="29">
        <v>216</v>
      </c>
      <c r="K35" s="29">
        <v>0</v>
      </c>
      <c r="L35" s="33" t="s">
        <v>22</v>
      </c>
      <c r="M35" s="32" t="s">
        <v>22</v>
      </c>
      <c r="N35" s="29">
        <v>0</v>
      </c>
      <c r="O35" s="34">
        <v>17</v>
      </c>
      <c r="P35" s="29">
        <v>204</v>
      </c>
      <c r="Q35" s="29">
        <v>0</v>
      </c>
      <c r="R35" s="33" t="s">
        <v>22</v>
      </c>
      <c r="S35" s="32" t="s">
        <v>22</v>
      </c>
      <c r="T35" s="29">
        <v>0</v>
      </c>
      <c r="U35" s="29">
        <v>29</v>
      </c>
      <c r="V35" s="29">
        <v>522</v>
      </c>
      <c r="W35" s="29">
        <v>13</v>
      </c>
      <c r="X35" s="33" t="s">
        <v>23</v>
      </c>
      <c r="Y35" s="29">
        <v>942</v>
      </c>
      <c r="Z35" s="29">
        <v>13</v>
      </c>
    </row>
    <row r="36" spans="6:26" x14ac:dyDescent="0.35">
      <c r="F36" s="17">
        <v>34</v>
      </c>
      <c r="G36" s="43" t="s">
        <v>23</v>
      </c>
      <c r="H36" s="41">
        <v>172</v>
      </c>
      <c r="I36" s="41">
        <v>172</v>
      </c>
      <c r="J36" s="41">
        <v>1548</v>
      </c>
      <c r="K36" s="41">
        <v>135</v>
      </c>
      <c r="L36" s="44" t="s">
        <v>22</v>
      </c>
      <c r="M36" s="43" t="s">
        <v>23</v>
      </c>
      <c r="N36" s="41">
        <v>63</v>
      </c>
      <c r="O36" s="41">
        <v>63</v>
      </c>
      <c r="P36" s="41">
        <v>756</v>
      </c>
      <c r="Q36" s="41">
        <v>40</v>
      </c>
      <c r="R36" s="44" t="s">
        <v>22</v>
      </c>
      <c r="S36" s="43" t="s">
        <v>22</v>
      </c>
      <c r="T36" s="41">
        <v>0</v>
      </c>
      <c r="U36" s="41">
        <v>13</v>
      </c>
      <c r="V36" s="41">
        <v>234</v>
      </c>
      <c r="W36" s="41">
        <v>0</v>
      </c>
      <c r="X36" s="44" t="s">
        <v>22</v>
      </c>
      <c r="Y36" s="41">
        <v>2538</v>
      </c>
      <c r="Z36" s="29">
        <v>175</v>
      </c>
    </row>
    <row r="37" spans="6:26" x14ac:dyDescent="0.35">
      <c r="F37" s="17">
        <v>35</v>
      </c>
      <c r="G37" s="43" t="s">
        <v>22</v>
      </c>
      <c r="H37" s="41">
        <v>0</v>
      </c>
      <c r="I37" s="41">
        <v>135</v>
      </c>
      <c r="J37" s="41">
        <v>1215</v>
      </c>
      <c r="K37" s="41">
        <v>98</v>
      </c>
      <c r="L37" s="44" t="s">
        <v>22</v>
      </c>
      <c r="M37" s="43" t="s">
        <v>22</v>
      </c>
      <c r="N37" s="41">
        <v>0</v>
      </c>
      <c r="O37" s="41">
        <v>40</v>
      </c>
      <c r="P37" s="41">
        <v>480</v>
      </c>
      <c r="Q37" s="41">
        <v>17</v>
      </c>
      <c r="R37" s="44" t="s">
        <v>23</v>
      </c>
      <c r="S37" s="43" t="s">
        <v>23</v>
      </c>
      <c r="T37" s="41">
        <v>61</v>
      </c>
      <c r="U37" s="41">
        <v>61</v>
      </c>
      <c r="V37" s="41">
        <v>1098</v>
      </c>
      <c r="W37" s="41">
        <v>45</v>
      </c>
      <c r="X37" s="44" t="s">
        <v>22</v>
      </c>
      <c r="Y37" s="41">
        <v>2793</v>
      </c>
      <c r="Z37" s="29">
        <v>160</v>
      </c>
    </row>
    <row r="38" spans="6:26" x14ac:dyDescent="0.35">
      <c r="F38" s="2">
        <v>36</v>
      </c>
      <c r="G38" s="32" t="s">
        <v>22</v>
      </c>
      <c r="H38" s="29">
        <v>0</v>
      </c>
      <c r="I38" s="29">
        <v>98</v>
      </c>
      <c r="J38" s="29">
        <v>882</v>
      </c>
      <c r="K38" s="29">
        <v>61</v>
      </c>
      <c r="L38" s="33" t="s">
        <v>23</v>
      </c>
      <c r="M38" s="32" t="s">
        <v>22</v>
      </c>
      <c r="N38" s="29">
        <v>0</v>
      </c>
      <c r="O38" s="34">
        <v>17</v>
      </c>
      <c r="P38" s="29">
        <v>204</v>
      </c>
      <c r="Q38" s="29">
        <v>0</v>
      </c>
      <c r="R38" s="33" t="s">
        <v>22</v>
      </c>
      <c r="S38" s="32" t="s">
        <v>22</v>
      </c>
      <c r="T38" s="29">
        <v>0</v>
      </c>
      <c r="U38" s="29">
        <v>45</v>
      </c>
      <c r="V38" s="29">
        <v>810</v>
      </c>
      <c r="W38" s="29">
        <v>29</v>
      </c>
      <c r="X38" s="33" t="s">
        <v>22</v>
      </c>
      <c r="Y38" s="29">
        <v>1896</v>
      </c>
      <c r="Z38" s="29">
        <v>90</v>
      </c>
    </row>
    <row r="39" spans="6:26" x14ac:dyDescent="0.35">
      <c r="F39" s="2">
        <v>37</v>
      </c>
      <c r="G39" s="32" t="s">
        <v>22</v>
      </c>
      <c r="H39" s="29">
        <v>0</v>
      </c>
      <c r="I39" s="29">
        <v>61</v>
      </c>
      <c r="J39" s="29">
        <v>549</v>
      </c>
      <c r="K39" s="29">
        <v>24</v>
      </c>
      <c r="L39" s="33" t="s">
        <v>22</v>
      </c>
      <c r="M39" s="32" t="s">
        <v>23</v>
      </c>
      <c r="N39" s="29">
        <v>63</v>
      </c>
      <c r="O39" s="29">
        <v>63</v>
      </c>
      <c r="P39" s="29">
        <v>756</v>
      </c>
      <c r="Q39" s="29">
        <v>40</v>
      </c>
      <c r="R39" s="33" t="s">
        <v>22</v>
      </c>
      <c r="S39" s="32" t="s">
        <v>22</v>
      </c>
      <c r="T39" s="29">
        <v>0</v>
      </c>
      <c r="U39" s="29">
        <v>29</v>
      </c>
      <c r="V39" s="29">
        <v>522</v>
      </c>
      <c r="W39" s="29">
        <v>13</v>
      </c>
      <c r="X39" s="33" t="s">
        <v>23</v>
      </c>
      <c r="Y39" s="29">
        <v>1827</v>
      </c>
      <c r="Z39" s="29">
        <v>77</v>
      </c>
    </row>
    <row r="40" spans="6:26" x14ac:dyDescent="0.35">
      <c r="F40" s="2">
        <v>38</v>
      </c>
      <c r="G40" s="32" t="s">
        <v>22</v>
      </c>
      <c r="H40" s="29">
        <v>0</v>
      </c>
      <c r="I40" s="34">
        <v>24</v>
      </c>
      <c r="J40" s="29">
        <v>216</v>
      </c>
      <c r="K40" s="29">
        <v>0</v>
      </c>
      <c r="L40" s="33" t="s">
        <v>22</v>
      </c>
      <c r="M40" s="32" t="s">
        <v>22</v>
      </c>
      <c r="N40" s="29">
        <v>0</v>
      </c>
      <c r="O40" s="29">
        <v>40</v>
      </c>
      <c r="P40" s="29">
        <v>480</v>
      </c>
      <c r="Q40" s="29">
        <v>17</v>
      </c>
      <c r="R40" s="33" t="s">
        <v>23</v>
      </c>
      <c r="S40" s="32" t="s">
        <v>22</v>
      </c>
      <c r="T40" s="29">
        <v>0</v>
      </c>
      <c r="U40" s="34">
        <v>13</v>
      </c>
      <c r="V40" s="29">
        <v>234</v>
      </c>
      <c r="W40" s="29">
        <v>0</v>
      </c>
      <c r="X40" s="33" t="s">
        <v>22</v>
      </c>
      <c r="Y40" s="29">
        <v>930</v>
      </c>
      <c r="Z40" s="29">
        <v>17</v>
      </c>
    </row>
    <row r="41" spans="6:26" x14ac:dyDescent="0.35">
      <c r="F41" s="17">
        <v>39</v>
      </c>
      <c r="G41" s="43" t="s">
        <v>23</v>
      </c>
      <c r="H41" s="41">
        <v>172</v>
      </c>
      <c r="I41" s="41">
        <v>172</v>
      </c>
      <c r="J41" s="41">
        <v>1548</v>
      </c>
      <c r="K41" s="41">
        <v>135</v>
      </c>
      <c r="L41" s="44" t="s">
        <v>22</v>
      </c>
      <c r="M41" s="43" t="s">
        <v>22</v>
      </c>
      <c r="N41" s="41">
        <v>0</v>
      </c>
      <c r="O41" s="41">
        <v>17</v>
      </c>
      <c r="P41" s="41">
        <v>204</v>
      </c>
      <c r="Q41" s="41">
        <v>0</v>
      </c>
      <c r="R41" s="44" t="s">
        <v>22</v>
      </c>
      <c r="S41" s="43" t="s">
        <v>23</v>
      </c>
      <c r="T41" s="41">
        <v>61</v>
      </c>
      <c r="U41" s="41">
        <v>61</v>
      </c>
      <c r="V41" s="41">
        <v>1098</v>
      </c>
      <c r="W41" s="41">
        <v>45</v>
      </c>
      <c r="X41" s="44" t="s">
        <v>22</v>
      </c>
      <c r="Y41" s="41">
        <v>2850</v>
      </c>
      <c r="Z41" s="29">
        <v>180</v>
      </c>
    </row>
    <row r="42" spans="6:26" x14ac:dyDescent="0.35">
      <c r="F42" s="17">
        <v>40</v>
      </c>
      <c r="G42" s="43" t="s">
        <v>22</v>
      </c>
      <c r="H42" s="41">
        <v>0</v>
      </c>
      <c r="I42" s="41">
        <v>135</v>
      </c>
      <c r="J42" s="41">
        <v>1215</v>
      </c>
      <c r="K42" s="41">
        <v>98</v>
      </c>
      <c r="L42" s="44" t="s">
        <v>22</v>
      </c>
      <c r="M42" s="43" t="s">
        <v>23</v>
      </c>
      <c r="N42" s="41">
        <v>63</v>
      </c>
      <c r="O42" s="41">
        <v>63</v>
      </c>
      <c r="P42" s="41">
        <v>756</v>
      </c>
      <c r="Q42" s="41">
        <v>40</v>
      </c>
      <c r="R42" s="44" t="s">
        <v>22</v>
      </c>
      <c r="S42" s="43" t="s">
        <v>22</v>
      </c>
      <c r="T42" s="41">
        <v>0</v>
      </c>
      <c r="U42" s="41">
        <v>45</v>
      </c>
      <c r="V42" s="41">
        <v>810</v>
      </c>
      <c r="W42" s="41">
        <v>29</v>
      </c>
      <c r="X42" s="44" t="s">
        <v>22</v>
      </c>
      <c r="Y42" s="41">
        <v>2781</v>
      </c>
      <c r="Z42" s="29">
        <v>167</v>
      </c>
    </row>
    <row r="43" spans="6:26" x14ac:dyDescent="0.35">
      <c r="F43" s="2">
        <v>41</v>
      </c>
      <c r="G43" s="32" t="s">
        <v>22</v>
      </c>
      <c r="H43" s="29">
        <v>0</v>
      </c>
      <c r="I43" s="29">
        <v>98</v>
      </c>
      <c r="J43" s="29">
        <v>882</v>
      </c>
      <c r="K43" s="29">
        <v>61</v>
      </c>
      <c r="L43" s="33" t="s">
        <v>23</v>
      </c>
      <c r="M43" s="32" t="s">
        <v>22</v>
      </c>
      <c r="N43" s="29">
        <v>0</v>
      </c>
      <c r="O43" s="29">
        <v>40</v>
      </c>
      <c r="P43" s="29">
        <v>480</v>
      </c>
      <c r="Q43" s="29">
        <v>17</v>
      </c>
      <c r="R43" s="33" t="s">
        <v>23</v>
      </c>
      <c r="S43" s="32" t="s">
        <v>22</v>
      </c>
      <c r="T43" s="29">
        <v>0</v>
      </c>
      <c r="U43" s="29">
        <v>29</v>
      </c>
      <c r="V43" s="29">
        <v>522</v>
      </c>
      <c r="W43" s="29">
        <v>13</v>
      </c>
      <c r="X43" s="33" t="s">
        <v>23</v>
      </c>
      <c r="Y43" s="29">
        <v>1884</v>
      </c>
      <c r="Z43" s="29">
        <v>91</v>
      </c>
    </row>
    <row r="44" spans="6:26" x14ac:dyDescent="0.35">
      <c r="F44" s="2">
        <v>42</v>
      </c>
      <c r="G44" s="32" t="s">
        <v>22</v>
      </c>
      <c r="H44" s="29">
        <v>0</v>
      </c>
      <c r="I44" s="29">
        <v>61</v>
      </c>
      <c r="J44" s="29">
        <v>549</v>
      </c>
      <c r="K44" s="29">
        <v>24</v>
      </c>
      <c r="L44" s="33" t="s">
        <v>22</v>
      </c>
      <c r="M44" s="32" t="s">
        <v>22</v>
      </c>
      <c r="N44" s="29">
        <v>0</v>
      </c>
      <c r="O44" s="34">
        <v>17</v>
      </c>
      <c r="P44" s="29">
        <v>204</v>
      </c>
      <c r="Q44" s="29">
        <v>0</v>
      </c>
      <c r="R44" s="33" t="s">
        <v>22</v>
      </c>
      <c r="S44" s="32" t="s">
        <v>22</v>
      </c>
      <c r="T44" s="29">
        <v>0</v>
      </c>
      <c r="U44" s="34">
        <v>13</v>
      </c>
      <c r="V44" s="29">
        <v>234</v>
      </c>
      <c r="W44" s="29">
        <v>0</v>
      </c>
      <c r="X44" s="33" t="s">
        <v>22</v>
      </c>
      <c r="Y44" s="29">
        <v>987</v>
      </c>
      <c r="Z44" s="29">
        <v>24</v>
      </c>
    </row>
    <row r="45" spans="6:26" x14ac:dyDescent="0.35">
      <c r="F45" s="2">
        <v>43</v>
      </c>
      <c r="G45" s="32" t="s">
        <v>22</v>
      </c>
      <c r="H45" s="29">
        <v>0</v>
      </c>
      <c r="I45" s="34">
        <v>24</v>
      </c>
      <c r="J45" s="29">
        <v>216</v>
      </c>
      <c r="K45" s="29">
        <v>0</v>
      </c>
      <c r="L45" s="33" t="s">
        <v>22</v>
      </c>
      <c r="M45" s="32" t="s">
        <v>23</v>
      </c>
      <c r="N45" s="29">
        <v>63</v>
      </c>
      <c r="O45" s="29">
        <v>63</v>
      </c>
      <c r="P45" s="29">
        <v>756</v>
      </c>
      <c r="Q45" s="29">
        <v>40</v>
      </c>
      <c r="R45" s="33" t="s">
        <v>22</v>
      </c>
      <c r="S45" s="32" t="s">
        <v>23</v>
      </c>
      <c r="T45" s="29">
        <v>61</v>
      </c>
      <c r="U45" s="29">
        <v>61</v>
      </c>
      <c r="V45" s="29">
        <v>1098</v>
      </c>
      <c r="W45" s="29">
        <v>45</v>
      </c>
      <c r="X45" s="33" t="s">
        <v>22</v>
      </c>
      <c r="Y45" s="29">
        <v>2070</v>
      </c>
      <c r="Z45" s="29">
        <v>85</v>
      </c>
    </row>
    <row r="46" spans="6:26" x14ac:dyDescent="0.35">
      <c r="F46" s="17">
        <v>44</v>
      </c>
      <c r="G46" s="43" t="s">
        <v>23</v>
      </c>
      <c r="H46" s="41">
        <v>172</v>
      </c>
      <c r="I46" s="41">
        <v>172</v>
      </c>
      <c r="J46" s="41">
        <v>1548</v>
      </c>
      <c r="K46" s="41">
        <v>135</v>
      </c>
      <c r="L46" s="44" t="s">
        <v>22</v>
      </c>
      <c r="M46" s="43" t="s">
        <v>22</v>
      </c>
      <c r="N46" s="41">
        <v>0</v>
      </c>
      <c r="O46" s="41">
        <v>40</v>
      </c>
      <c r="P46" s="41">
        <v>480</v>
      </c>
      <c r="Q46" s="41">
        <v>17</v>
      </c>
      <c r="R46" s="44" t="s">
        <v>23</v>
      </c>
      <c r="S46" s="43" t="s">
        <v>22</v>
      </c>
      <c r="T46" s="41">
        <v>0</v>
      </c>
      <c r="U46" s="41">
        <v>45</v>
      </c>
      <c r="V46" s="41">
        <v>810</v>
      </c>
      <c r="W46" s="41">
        <v>29</v>
      </c>
      <c r="X46" s="44" t="s">
        <v>22</v>
      </c>
      <c r="Y46" s="41">
        <v>2838</v>
      </c>
      <c r="Z46" s="29">
        <v>181</v>
      </c>
    </row>
    <row r="47" spans="6:26" x14ac:dyDescent="0.35">
      <c r="F47" s="2">
        <v>45</v>
      </c>
      <c r="G47" s="32" t="s">
        <v>22</v>
      </c>
      <c r="H47" s="29">
        <v>0</v>
      </c>
      <c r="I47" s="29">
        <v>135</v>
      </c>
      <c r="J47" s="29">
        <v>1215</v>
      </c>
      <c r="K47" s="29">
        <v>98</v>
      </c>
      <c r="L47" s="33" t="s">
        <v>22</v>
      </c>
      <c r="M47" s="32" t="s">
        <v>22</v>
      </c>
      <c r="N47" s="29">
        <v>0</v>
      </c>
      <c r="O47" s="34">
        <v>17</v>
      </c>
      <c r="P47" s="29">
        <v>204</v>
      </c>
      <c r="Q47" s="29">
        <v>0</v>
      </c>
      <c r="R47" s="33" t="s">
        <v>22</v>
      </c>
      <c r="S47" s="32" t="s">
        <v>22</v>
      </c>
      <c r="T47" s="29">
        <v>0</v>
      </c>
      <c r="U47" s="29">
        <v>29</v>
      </c>
      <c r="V47" s="29">
        <v>522</v>
      </c>
      <c r="W47" s="29">
        <v>13</v>
      </c>
      <c r="X47" s="33" t="s">
        <v>23</v>
      </c>
      <c r="Y47" s="29">
        <v>1941</v>
      </c>
      <c r="Z47" s="29">
        <v>111</v>
      </c>
    </row>
    <row r="48" spans="6:26" x14ac:dyDescent="0.35">
      <c r="F48" s="2">
        <v>46</v>
      </c>
      <c r="G48" s="32" t="s">
        <v>22</v>
      </c>
      <c r="H48" s="29">
        <v>0</v>
      </c>
      <c r="I48" s="29">
        <v>98</v>
      </c>
      <c r="J48" s="29">
        <v>882</v>
      </c>
      <c r="K48" s="29">
        <v>61</v>
      </c>
      <c r="L48" s="33" t="s">
        <v>23</v>
      </c>
      <c r="M48" s="32" t="s">
        <v>23</v>
      </c>
      <c r="N48" s="29">
        <v>63</v>
      </c>
      <c r="O48" s="29">
        <v>63</v>
      </c>
      <c r="P48" s="29">
        <v>756</v>
      </c>
      <c r="Q48" s="29">
        <v>40</v>
      </c>
      <c r="R48" s="33" t="s">
        <v>22</v>
      </c>
      <c r="S48" s="32" t="s">
        <v>22</v>
      </c>
      <c r="T48" s="29">
        <v>0</v>
      </c>
      <c r="U48" s="34">
        <v>13</v>
      </c>
      <c r="V48" s="29">
        <v>234</v>
      </c>
      <c r="W48" s="29">
        <v>0</v>
      </c>
      <c r="X48" s="33" t="s">
        <v>22</v>
      </c>
      <c r="Y48" s="29">
        <v>1872</v>
      </c>
      <c r="Z48" s="29">
        <v>101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61</v>
      </c>
      <c r="J49" s="29">
        <v>549</v>
      </c>
      <c r="K49" s="29">
        <v>24</v>
      </c>
      <c r="L49" s="33" t="s">
        <v>22</v>
      </c>
      <c r="M49" s="32" t="s">
        <v>22</v>
      </c>
      <c r="N49" s="29">
        <v>0</v>
      </c>
      <c r="O49" s="29">
        <v>40</v>
      </c>
      <c r="P49" s="29">
        <v>480</v>
      </c>
      <c r="Q49" s="29">
        <v>17</v>
      </c>
      <c r="R49" s="33" t="s">
        <v>23</v>
      </c>
      <c r="S49" s="32" t="s">
        <v>23</v>
      </c>
      <c r="T49" s="29">
        <v>61</v>
      </c>
      <c r="U49" s="29">
        <v>61</v>
      </c>
      <c r="V49" s="29">
        <v>1098</v>
      </c>
      <c r="W49" s="29">
        <v>45</v>
      </c>
      <c r="X49" s="33" t="s">
        <v>22</v>
      </c>
      <c r="Y49" s="29">
        <v>2127</v>
      </c>
      <c r="Z49" s="29">
        <v>86</v>
      </c>
    </row>
    <row r="50" spans="6:26" x14ac:dyDescent="0.35">
      <c r="F50" s="2">
        <v>48</v>
      </c>
      <c r="G50" s="32" t="s">
        <v>22</v>
      </c>
      <c r="H50" s="29">
        <v>0</v>
      </c>
      <c r="I50" s="34">
        <v>24</v>
      </c>
      <c r="J50" s="29">
        <v>216</v>
      </c>
      <c r="K50" s="29">
        <v>0</v>
      </c>
      <c r="L50" s="33" t="s">
        <v>22</v>
      </c>
      <c r="M50" s="32" t="s">
        <v>22</v>
      </c>
      <c r="N50" s="29">
        <v>0</v>
      </c>
      <c r="O50" s="34">
        <v>17</v>
      </c>
      <c r="P50" s="29">
        <v>204</v>
      </c>
      <c r="Q50" s="29">
        <v>0</v>
      </c>
      <c r="R50" s="33" t="s">
        <v>22</v>
      </c>
      <c r="S50" s="32" t="s">
        <v>22</v>
      </c>
      <c r="T50" s="29">
        <v>0</v>
      </c>
      <c r="U50" s="29">
        <v>45</v>
      </c>
      <c r="V50" s="29">
        <v>810</v>
      </c>
      <c r="W50" s="29">
        <v>29</v>
      </c>
      <c r="X50" s="33" t="s">
        <v>22</v>
      </c>
      <c r="Y50" s="29">
        <v>1230</v>
      </c>
      <c r="Z50" s="29">
        <v>29</v>
      </c>
    </row>
    <row r="51" spans="6:26" x14ac:dyDescent="0.35">
      <c r="F51" s="17">
        <v>49</v>
      </c>
      <c r="G51" s="43" t="s">
        <v>23</v>
      </c>
      <c r="H51" s="41">
        <v>172</v>
      </c>
      <c r="I51" s="41">
        <v>172</v>
      </c>
      <c r="J51" s="41">
        <v>1548</v>
      </c>
      <c r="K51" s="41">
        <v>135</v>
      </c>
      <c r="L51" s="44" t="s">
        <v>22</v>
      </c>
      <c r="M51" s="43" t="s">
        <v>23</v>
      </c>
      <c r="N51" s="41">
        <v>63</v>
      </c>
      <c r="O51" s="41">
        <v>63</v>
      </c>
      <c r="P51" s="41">
        <v>756</v>
      </c>
      <c r="Q51" s="41">
        <v>40</v>
      </c>
      <c r="R51" s="44" t="s">
        <v>22</v>
      </c>
      <c r="S51" s="43" t="s">
        <v>22</v>
      </c>
      <c r="T51" s="41">
        <v>0</v>
      </c>
      <c r="U51" s="41">
        <v>29</v>
      </c>
      <c r="V51" s="41">
        <v>522</v>
      </c>
      <c r="W51" s="41">
        <v>13</v>
      </c>
      <c r="X51" s="44" t="s">
        <v>23</v>
      </c>
      <c r="Y51" s="41">
        <v>2826</v>
      </c>
      <c r="Z51" s="29">
        <v>188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135</v>
      </c>
      <c r="J52" s="29">
        <v>1215</v>
      </c>
      <c r="K52" s="29">
        <v>98</v>
      </c>
      <c r="L52" s="33" t="s">
        <v>22</v>
      </c>
      <c r="M52" s="32" t="s">
        <v>22</v>
      </c>
      <c r="N52" s="29">
        <v>0</v>
      </c>
      <c r="O52" s="29">
        <v>40</v>
      </c>
      <c r="P52" s="29">
        <v>480</v>
      </c>
      <c r="Q52" s="29">
        <v>17</v>
      </c>
      <c r="R52" s="33" t="s">
        <v>23</v>
      </c>
      <c r="S52" s="32" t="s">
        <v>22</v>
      </c>
      <c r="T52" s="29">
        <v>0</v>
      </c>
      <c r="U52" s="34">
        <v>13</v>
      </c>
      <c r="V52" s="29">
        <v>234</v>
      </c>
      <c r="W52" s="29">
        <v>0</v>
      </c>
      <c r="X52" s="33" t="s">
        <v>22</v>
      </c>
      <c r="Y52" s="29">
        <v>1929</v>
      </c>
      <c r="Z52" s="29">
        <v>115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F19D-EF1C-48E2-942D-3CA564DAC1F1}">
  <sheetPr codeName="Sheet4"/>
  <dimension ref="A1:Z53"/>
  <sheetViews>
    <sheetView topLeftCell="A14" zoomScale="90" zoomScaleNormal="90" workbookViewId="0">
      <selection activeCell="C37" sqref="C37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148</v>
      </c>
      <c r="C3" s="16">
        <v>69</v>
      </c>
      <c r="D3" s="16">
        <v>48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22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23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23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22</v>
      </c>
      <c r="N5" s="29">
        <v>0</v>
      </c>
      <c r="O5" s="34">
        <v>1</v>
      </c>
      <c r="P5" s="29">
        <v>12</v>
      </c>
      <c r="Q5" s="29">
        <v>0</v>
      </c>
      <c r="R5" s="33" t="s">
        <v>22</v>
      </c>
      <c r="S5" s="32" t="s">
        <v>23</v>
      </c>
      <c r="T5" s="29">
        <v>48</v>
      </c>
      <c r="U5" s="29">
        <v>48</v>
      </c>
      <c r="V5" s="29">
        <v>864</v>
      </c>
      <c r="W5" s="29">
        <v>32</v>
      </c>
      <c r="X5" s="33" t="s">
        <v>22</v>
      </c>
      <c r="Y5" s="29">
        <v>1209</v>
      </c>
      <c r="Z5" s="29">
        <v>32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17">
        <v>4</v>
      </c>
      <c r="G6" s="43" t="s">
        <v>23</v>
      </c>
      <c r="H6" s="41">
        <v>148</v>
      </c>
      <c r="I6" s="41">
        <v>148</v>
      </c>
      <c r="J6" s="41">
        <v>1332</v>
      </c>
      <c r="K6" s="41">
        <v>111</v>
      </c>
      <c r="L6" s="44" t="s">
        <v>22</v>
      </c>
      <c r="M6" s="43" t="s">
        <v>23</v>
      </c>
      <c r="N6" s="41">
        <v>69</v>
      </c>
      <c r="O6" s="41">
        <v>69</v>
      </c>
      <c r="P6" s="41">
        <v>828</v>
      </c>
      <c r="Q6" s="41">
        <v>46</v>
      </c>
      <c r="R6" s="44" t="s">
        <v>22</v>
      </c>
      <c r="S6" s="43" t="s">
        <v>22</v>
      </c>
      <c r="T6" s="41">
        <v>0</v>
      </c>
      <c r="U6" s="41">
        <v>32</v>
      </c>
      <c r="V6" s="41">
        <v>576</v>
      </c>
      <c r="W6" s="41">
        <v>16</v>
      </c>
      <c r="X6" s="44" t="s">
        <v>23</v>
      </c>
      <c r="Y6" s="41">
        <v>2736</v>
      </c>
      <c r="Z6" s="29">
        <v>173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111</v>
      </c>
      <c r="J7" s="29">
        <v>999</v>
      </c>
      <c r="K7" s="29">
        <v>74</v>
      </c>
      <c r="L7" s="33" t="s">
        <v>23</v>
      </c>
      <c r="M7" s="32" t="s">
        <v>22</v>
      </c>
      <c r="N7" s="29">
        <v>0</v>
      </c>
      <c r="O7" s="29">
        <v>46</v>
      </c>
      <c r="P7" s="29">
        <v>552</v>
      </c>
      <c r="Q7" s="29">
        <v>23</v>
      </c>
      <c r="R7" s="33" t="s">
        <v>23</v>
      </c>
      <c r="S7" s="32" t="s">
        <v>22</v>
      </c>
      <c r="T7" s="29">
        <v>0</v>
      </c>
      <c r="U7" s="29">
        <v>16</v>
      </c>
      <c r="V7" s="29">
        <v>288</v>
      </c>
      <c r="W7" s="29">
        <v>0</v>
      </c>
      <c r="X7" s="33" t="s">
        <v>22</v>
      </c>
      <c r="Y7" s="29">
        <v>1839</v>
      </c>
      <c r="Z7" s="29">
        <v>97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74</v>
      </c>
      <c r="J8" s="29">
        <v>666</v>
      </c>
      <c r="K8" s="29">
        <v>37</v>
      </c>
      <c r="L8" s="33" t="s">
        <v>22</v>
      </c>
      <c r="M8" s="32" t="s">
        <v>22</v>
      </c>
      <c r="N8" s="29">
        <v>0</v>
      </c>
      <c r="O8" s="29">
        <v>23</v>
      </c>
      <c r="P8" s="29">
        <v>276</v>
      </c>
      <c r="Q8" s="29">
        <v>0</v>
      </c>
      <c r="R8" s="33" t="s">
        <v>22</v>
      </c>
      <c r="S8" s="32" t="s">
        <v>23</v>
      </c>
      <c r="T8" s="29">
        <v>48</v>
      </c>
      <c r="U8" s="29">
        <v>48</v>
      </c>
      <c r="V8" s="29">
        <v>864</v>
      </c>
      <c r="W8" s="29">
        <v>32</v>
      </c>
      <c r="X8" s="33" t="s">
        <v>22</v>
      </c>
      <c r="Y8" s="29">
        <v>1806</v>
      </c>
      <c r="Z8" s="29">
        <v>69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22</v>
      </c>
      <c r="H9" s="29">
        <v>0</v>
      </c>
      <c r="I9" s="29">
        <v>37</v>
      </c>
      <c r="J9" s="29">
        <v>333</v>
      </c>
      <c r="K9" s="29">
        <v>0</v>
      </c>
      <c r="L9" s="33" t="s">
        <v>22</v>
      </c>
      <c r="M9" s="32" t="s">
        <v>23</v>
      </c>
      <c r="N9" s="29">
        <v>69</v>
      </c>
      <c r="O9" s="29">
        <v>69</v>
      </c>
      <c r="P9" s="29">
        <v>828</v>
      </c>
      <c r="Q9" s="29">
        <v>46</v>
      </c>
      <c r="R9" s="33" t="s">
        <v>22</v>
      </c>
      <c r="S9" s="32" t="s">
        <v>22</v>
      </c>
      <c r="T9" s="29">
        <v>0</v>
      </c>
      <c r="U9" s="29">
        <v>32</v>
      </c>
      <c r="V9" s="29">
        <v>576</v>
      </c>
      <c r="W9" s="29">
        <v>16</v>
      </c>
      <c r="X9" s="33" t="s">
        <v>23</v>
      </c>
      <c r="Y9" s="29">
        <v>1737</v>
      </c>
      <c r="Z9" s="29">
        <v>62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23</v>
      </c>
      <c r="H10" s="29">
        <v>148</v>
      </c>
      <c r="I10" s="29">
        <v>148</v>
      </c>
      <c r="J10" s="29">
        <v>1332</v>
      </c>
      <c r="K10" s="29">
        <v>111</v>
      </c>
      <c r="L10" s="33" t="s">
        <v>22</v>
      </c>
      <c r="M10" s="32" t="s">
        <v>22</v>
      </c>
      <c r="N10" s="29">
        <v>0</v>
      </c>
      <c r="O10" s="29">
        <v>46</v>
      </c>
      <c r="P10" s="29">
        <v>552</v>
      </c>
      <c r="Q10" s="29">
        <v>23</v>
      </c>
      <c r="R10" s="33" t="s">
        <v>23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2172</v>
      </c>
      <c r="Z10" s="29">
        <v>134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111</v>
      </c>
      <c r="J11" s="29">
        <v>999</v>
      </c>
      <c r="K11" s="29">
        <v>74</v>
      </c>
      <c r="L11" s="33" t="s">
        <v>23</v>
      </c>
      <c r="M11" s="32" t="s">
        <v>22</v>
      </c>
      <c r="N11" s="29">
        <v>0</v>
      </c>
      <c r="O11" s="29">
        <v>23</v>
      </c>
      <c r="P11" s="29">
        <v>276</v>
      </c>
      <c r="Q11" s="29">
        <v>0</v>
      </c>
      <c r="R11" s="33" t="s">
        <v>22</v>
      </c>
      <c r="S11" s="32" t="s">
        <v>23</v>
      </c>
      <c r="T11" s="29">
        <v>48</v>
      </c>
      <c r="U11" s="29">
        <v>48</v>
      </c>
      <c r="V11" s="29">
        <v>864</v>
      </c>
      <c r="W11" s="29">
        <v>32</v>
      </c>
      <c r="X11" s="33" t="s">
        <v>22</v>
      </c>
      <c r="Y11" s="29">
        <v>2139</v>
      </c>
      <c r="Z11" s="29">
        <v>106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22</v>
      </c>
      <c r="H12" s="29">
        <v>0</v>
      </c>
      <c r="I12" s="29">
        <v>74</v>
      </c>
      <c r="J12" s="29">
        <v>666</v>
      </c>
      <c r="K12" s="29">
        <v>37</v>
      </c>
      <c r="L12" s="33" t="s">
        <v>22</v>
      </c>
      <c r="M12" s="32" t="s">
        <v>23</v>
      </c>
      <c r="N12" s="29">
        <v>69</v>
      </c>
      <c r="O12" s="29">
        <v>69</v>
      </c>
      <c r="P12" s="29">
        <v>828</v>
      </c>
      <c r="Q12" s="29">
        <v>46</v>
      </c>
      <c r="R12" s="33" t="s">
        <v>22</v>
      </c>
      <c r="S12" s="32" t="s">
        <v>22</v>
      </c>
      <c r="T12" s="29">
        <v>0</v>
      </c>
      <c r="U12" s="29">
        <v>32</v>
      </c>
      <c r="V12" s="29">
        <v>576</v>
      </c>
      <c r="W12" s="29">
        <v>16</v>
      </c>
      <c r="X12" s="33" t="s">
        <v>23</v>
      </c>
      <c r="Y12" s="29">
        <v>2070</v>
      </c>
      <c r="Z12" s="29">
        <v>99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37</v>
      </c>
      <c r="J13" s="29">
        <v>333</v>
      </c>
      <c r="K13" s="29">
        <v>0</v>
      </c>
      <c r="L13" s="33" t="s">
        <v>22</v>
      </c>
      <c r="M13" s="32" t="s">
        <v>22</v>
      </c>
      <c r="N13" s="29">
        <v>0</v>
      </c>
      <c r="O13" s="29">
        <v>46</v>
      </c>
      <c r="P13" s="29">
        <v>552</v>
      </c>
      <c r="Q13" s="29">
        <v>23</v>
      </c>
      <c r="R13" s="33" t="s">
        <v>23</v>
      </c>
      <c r="S13" s="32" t="s">
        <v>22</v>
      </c>
      <c r="T13" s="29">
        <v>0</v>
      </c>
      <c r="U13" s="29">
        <v>16</v>
      </c>
      <c r="V13" s="29">
        <v>288</v>
      </c>
      <c r="W13" s="29">
        <v>0</v>
      </c>
      <c r="X13" s="33" t="s">
        <v>22</v>
      </c>
      <c r="Y13" s="29">
        <v>1173</v>
      </c>
      <c r="Z13" s="29">
        <v>23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23</v>
      </c>
      <c r="H14" s="29">
        <v>148</v>
      </c>
      <c r="I14" s="29">
        <v>148</v>
      </c>
      <c r="J14" s="29">
        <v>1332</v>
      </c>
      <c r="K14" s="29">
        <v>111</v>
      </c>
      <c r="L14" s="33" t="s">
        <v>22</v>
      </c>
      <c r="M14" s="32" t="s">
        <v>22</v>
      </c>
      <c r="N14" s="29">
        <v>0</v>
      </c>
      <c r="O14" s="29">
        <v>23</v>
      </c>
      <c r="P14" s="29">
        <v>276</v>
      </c>
      <c r="Q14" s="29">
        <v>0</v>
      </c>
      <c r="R14" s="33" t="s">
        <v>22</v>
      </c>
      <c r="S14" s="32" t="s">
        <v>23</v>
      </c>
      <c r="T14" s="29">
        <v>48</v>
      </c>
      <c r="U14" s="29">
        <v>48</v>
      </c>
      <c r="V14" s="29">
        <v>864</v>
      </c>
      <c r="W14" s="29">
        <v>32</v>
      </c>
      <c r="X14" s="33" t="s">
        <v>22</v>
      </c>
      <c r="Y14" s="29">
        <v>2472</v>
      </c>
      <c r="Z14" s="29">
        <v>143</v>
      </c>
    </row>
    <row r="15" spans="1:26" ht="15" thickBot="1" x14ac:dyDescent="0.4">
      <c r="A15" s="19" t="s">
        <v>28</v>
      </c>
      <c r="B15" s="26">
        <v>1776</v>
      </c>
      <c r="C15" s="26">
        <v>1104</v>
      </c>
      <c r="D15" s="26">
        <v>768</v>
      </c>
      <c r="E15" s="37">
        <v>3648</v>
      </c>
      <c r="F15" s="2">
        <v>13</v>
      </c>
      <c r="G15" s="32" t="s">
        <v>22</v>
      </c>
      <c r="H15" s="29">
        <v>0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23</v>
      </c>
      <c r="N15" s="29">
        <v>69</v>
      </c>
      <c r="O15" s="29">
        <v>69</v>
      </c>
      <c r="P15" s="29">
        <v>828</v>
      </c>
      <c r="Q15" s="29">
        <v>46</v>
      </c>
      <c r="R15" s="33" t="s">
        <v>22</v>
      </c>
      <c r="S15" s="32" t="s">
        <v>22</v>
      </c>
      <c r="T15" s="29">
        <v>0</v>
      </c>
      <c r="U15" s="29">
        <v>32</v>
      </c>
      <c r="V15" s="29">
        <v>576</v>
      </c>
      <c r="W15" s="29">
        <v>16</v>
      </c>
      <c r="X15" s="33" t="s">
        <v>23</v>
      </c>
      <c r="Y15" s="29">
        <v>2403</v>
      </c>
      <c r="Z15" s="29">
        <v>136</v>
      </c>
    </row>
    <row r="16" spans="1:26" ht="15" thickBot="1" x14ac:dyDescent="0.4">
      <c r="A16" s="18" t="s">
        <v>27</v>
      </c>
      <c r="B16" s="27">
        <v>12</v>
      </c>
      <c r="C16" s="27">
        <v>16</v>
      </c>
      <c r="D16" s="28">
        <v>16</v>
      </c>
      <c r="E16" s="37">
        <v>44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29">
        <v>46</v>
      </c>
      <c r="P16" s="29">
        <v>552</v>
      </c>
      <c r="Q16" s="29">
        <v>23</v>
      </c>
      <c r="R16" s="33" t="s">
        <v>23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1506</v>
      </c>
      <c r="Z16" s="29">
        <v>60</v>
      </c>
    </row>
    <row r="17" spans="1:26" ht="15" thickBot="1" x14ac:dyDescent="0.4">
      <c r="A17" s="11" t="s">
        <v>24</v>
      </c>
      <c r="B17" s="24">
        <v>1200</v>
      </c>
      <c r="C17" s="24">
        <v>2400</v>
      </c>
      <c r="D17" s="24">
        <v>800</v>
      </c>
      <c r="E17" s="25">
        <v>4400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22</v>
      </c>
      <c r="N17" s="29">
        <v>0</v>
      </c>
      <c r="O17" s="29">
        <v>23</v>
      </c>
      <c r="P17" s="29">
        <v>276</v>
      </c>
      <c r="Q17" s="29">
        <v>0</v>
      </c>
      <c r="R17" s="33" t="s">
        <v>22</v>
      </c>
      <c r="S17" s="32" t="s">
        <v>23</v>
      </c>
      <c r="T17" s="29">
        <v>48</v>
      </c>
      <c r="U17" s="29">
        <v>48</v>
      </c>
      <c r="V17" s="29">
        <v>864</v>
      </c>
      <c r="W17" s="29">
        <v>32</v>
      </c>
      <c r="X17" s="33" t="s">
        <v>22</v>
      </c>
      <c r="Y17" s="29">
        <v>1473</v>
      </c>
      <c r="Z17" s="29">
        <v>32</v>
      </c>
    </row>
    <row r="18" spans="1:26" ht="15" thickBot="1" x14ac:dyDescent="0.4">
      <c r="A18" s="11" t="s">
        <v>29</v>
      </c>
      <c r="B18" s="24">
        <v>88800</v>
      </c>
      <c r="C18" s="24">
        <v>386400</v>
      </c>
      <c r="D18" s="24">
        <v>65280</v>
      </c>
      <c r="E18" s="25">
        <v>540480</v>
      </c>
      <c r="F18" s="17">
        <v>16</v>
      </c>
      <c r="G18" s="43" t="s">
        <v>23</v>
      </c>
      <c r="H18" s="41">
        <v>148</v>
      </c>
      <c r="I18" s="41">
        <v>148</v>
      </c>
      <c r="J18" s="41">
        <v>1332</v>
      </c>
      <c r="K18" s="41">
        <v>111</v>
      </c>
      <c r="L18" s="44" t="s">
        <v>22</v>
      </c>
      <c r="M18" s="43" t="s">
        <v>23</v>
      </c>
      <c r="N18" s="41">
        <v>69</v>
      </c>
      <c r="O18" s="41">
        <v>69</v>
      </c>
      <c r="P18" s="41">
        <v>828</v>
      </c>
      <c r="Q18" s="41">
        <v>46</v>
      </c>
      <c r="R18" s="44" t="s">
        <v>22</v>
      </c>
      <c r="S18" s="43" t="s">
        <v>22</v>
      </c>
      <c r="T18" s="41">
        <v>0</v>
      </c>
      <c r="U18" s="41">
        <v>32</v>
      </c>
      <c r="V18" s="41">
        <v>576</v>
      </c>
      <c r="W18" s="41">
        <v>16</v>
      </c>
      <c r="X18" s="44" t="s">
        <v>23</v>
      </c>
      <c r="Y18" s="41">
        <v>2736</v>
      </c>
      <c r="Z18" s="29">
        <v>173</v>
      </c>
    </row>
    <row r="19" spans="1:26" ht="15" thickBot="1" x14ac:dyDescent="0.4">
      <c r="A19" s="20" t="s">
        <v>30</v>
      </c>
      <c r="B19" s="25">
        <v>693.75</v>
      </c>
      <c r="C19" s="25">
        <v>1975.75</v>
      </c>
      <c r="D19" s="25">
        <v>333.20000000000016</v>
      </c>
      <c r="E19" s="25">
        <v>3002.7000000000003</v>
      </c>
      <c r="F19" s="2">
        <v>17</v>
      </c>
      <c r="G19" s="32" t="s">
        <v>22</v>
      </c>
      <c r="H19" s="29">
        <v>0</v>
      </c>
      <c r="I19" s="29">
        <v>111</v>
      </c>
      <c r="J19" s="29">
        <v>999</v>
      </c>
      <c r="K19" s="29">
        <v>74</v>
      </c>
      <c r="L19" s="33" t="s">
        <v>23</v>
      </c>
      <c r="M19" s="32" t="s">
        <v>22</v>
      </c>
      <c r="N19" s="29">
        <v>0</v>
      </c>
      <c r="O19" s="29">
        <v>46</v>
      </c>
      <c r="P19" s="29">
        <v>552</v>
      </c>
      <c r="Q19" s="29">
        <v>23</v>
      </c>
      <c r="R19" s="33" t="s">
        <v>23</v>
      </c>
      <c r="S19" s="32" t="s">
        <v>22</v>
      </c>
      <c r="T19" s="29">
        <v>0</v>
      </c>
      <c r="U19" s="29">
        <v>16</v>
      </c>
      <c r="V19" s="29">
        <v>288</v>
      </c>
      <c r="W19" s="29">
        <v>0</v>
      </c>
      <c r="X19" s="33" t="s">
        <v>22</v>
      </c>
      <c r="Y19" s="29">
        <v>1839</v>
      </c>
      <c r="Z19" s="29">
        <v>97</v>
      </c>
    </row>
    <row r="20" spans="1:26" ht="15" thickBot="1" x14ac:dyDescent="0.4">
      <c r="A20" s="23" t="s">
        <v>32</v>
      </c>
      <c r="B20" s="67">
        <v>4688</v>
      </c>
      <c r="C20" s="68"/>
      <c r="D20" s="69"/>
      <c r="F20" s="2">
        <v>18</v>
      </c>
      <c r="G20" s="32" t="s">
        <v>22</v>
      </c>
      <c r="H20" s="29">
        <v>0</v>
      </c>
      <c r="I20" s="29">
        <v>74</v>
      </c>
      <c r="J20" s="29">
        <v>666</v>
      </c>
      <c r="K20" s="29">
        <v>37</v>
      </c>
      <c r="L20" s="33" t="s">
        <v>22</v>
      </c>
      <c r="M20" s="32" t="s">
        <v>22</v>
      </c>
      <c r="N20" s="29">
        <v>0</v>
      </c>
      <c r="O20" s="29">
        <v>23</v>
      </c>
      <c r="P20" s="29">
        <v>276</v>
      </c>
      <c r="Q20" s="29">
        <v>0</v>
      </c>
      <c r="R20" s="33" t="s">
        <v>22</v>
      </c>
      <c r="S20" s="32" t="s">
        <v>23</v>
      </c>
      <c r="T20" s="29">
        <v>48</v>
      </c>
      <c r="U20" s="29">
        <v>48</v>
      </c>
      <c r="V20" s="29">
        <v>864</v>
      </c>
      <c r="W20" s="29">
        <v>32</v>
      </c>
      <c r="X20" s="33" t="s">
        <v>22</v>
      </c>
      <c r="Y20" s="29">
        <v>1806</v>
      </c>
      <c r="Z20" s="29">
        <v>69</v>
      </c>
    </row>
    <row r="21" spans="1:26" ht="15" thickBot="1" x14ac:dyDescent="0.4">
      <c r="A21" s="21" t="s">
        <v>25</v>
      </c>
      <c r="B21" s="63">
        <v>547882.69999999995</v>
      </c>
      <c r="C21" s="64"/>
      <c r="D21" s="65"/>
      <c r="F21" s="2">
        <v>19</v>
      </c>
      <c r="G21" s="32" t="s">
        <v>22</v>
      </c>
      <c r="H21" s="29">
        <v>0</v>
      </c>
      <c r="I21" s="29">
        <v>37</v>
      </c>
      <c r="J21" s="29">
        <v>333</v>
      </c>
      <c r="K21" s="29">
        <v>0</v>
      </c>
      <c r="L21" s="33" t="s">
        <v>22</v>
      </c>
      <c r="M21" s="32" t="s">
        <v>23</v>
      </c>
      <c r="N21" s="29">
        <v>69</v>
      </c>
      <c r="O21" s="29">
        <v>69</v>
      </c>
      <c r="P21" s="29">
        <v>828</v>
      </c>
      <c r="Q21" s="29">
        <v>46</v>
      </c>
      <c r="R21" s="33" t="s">
        <v>22</v>
      </c>
      <c r="S21" s="32" t="s">
        <v>22</v>
      </c>
      <c r="T21" s="29">
        <v>0</v>
      </c>
      <c r="U21" s="29">
        <v>32</v>
      </c>
      <c r="V21" s="29">
        <v>576</v>
      </c>
      <c r="W21" s="29">
        <v>16</v>
      </c>
      <c r="X21" s="33" t="s">
        <v>23</v>
      </c>
      <c r="Y21" s="29">
        <v>1737</v>
      </c>
      <c r="Z21" s="29">
        <v>62</v>
      </c>
    </row>
    <row r="22" spans="1:26" ht="15" thickBot="1" x14ac:dyDescent="0.4">
      <c r="A22" s="22" t="s">
        <v>20</v>
      </c>
      <c r="B22" s="54">
        <v>4</v>
      </c>
      <c r="C22" s="55"/>
      <c r="D22" s="56"/>
      <c r="F22" s="2">
        <v>20</v>
      </c>
      <c r="G22" s="32" t="s">
        <v>23</v>
      </c>
      <c r="H22" s="29">
        <v>148</v>
      </c>
      <c r="I22" s="29">
        <v>148</v>
      </c>
      <c r="J22" s="29">
        <v>1332</v>
      </c>
      <c r="K22" s="29">
        <v>111</v>
      </c>
      <c r="L22" s="33" t="s">
        <v>22</v>
      </c>
      <c r="M22" s="32" t="s">
        <v>22</v>
      </c>
      <c r="N22" s="29">
        <v>0</v>
      </c>
      <c r="O22" s="29">
        <v>46</v>
      </c>
      <c r="P22" s="29">
        <v>552</v>
      </c>
      <c r="Q22" s="29">
        <v>23</v>
      </c>
      <c r="R22" s="33" t="s">
        <v>23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2172</v>
      </c>
      <c r="Z22" s="29">
        <v>134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111</v>
      </c>
      <c r="J23" s="29">
        <v>999</v>
      </c>
      <c r="K23" s="29">
        <v>74</v>
      </c>
      <c r="L23" s="33" t="s">
        <v>23</v>
      </c>
      <c r="M23" s="32" t="s">
        <v>22</v>
      </c>
      <c r="N23" s="29">
        <v>0</v>
      </c>
      <c r="O23" s="29">
        <v>23</v>
      </c>
      <c r="P23" s="29">
        <v>276</v>
      </c>
      <c r="Q23" s="29">
        <v>0</v>
      </c>
      <c r="R23" s="33" t="s">
        <v>22</v>
      </c>
      <c r="S23" s="32" t="s">
        <v>23</v>
      </c>
      <c r="T23" s="29">
        <v>48</v>
      </c>
      <c r="U23" s="29">
        <v>48</v>
      </c>
      <c r="V23" s="29">
        <v>864</v>
      </c>
      <c r="W23" s="29">
        <v>32</v>
      </c>
      <c r="X23" s="33" t="s">
        <v>22</v>
      </c>
      <c r="Y23" s="29">
        <v>2139</v>
      </c>
      <c r="Z23" s="29">
        <v>106</v>
      </c>
    </row>
    <row r="24" spans="1:26" x14ac:dyDescent="0.35">
      <c r="A24" s="38" t="s">
        <v>9</v>
      </c>
      <c r="B24" s="30" t="s">
        <v>43</v>
      </c>
      <c r="C24" s="30" t="s">
        <v>42</v>
      </c>
      <c r="D24" s="30" t="s">
        <v>42</v>
      </c>
      <c r="F24" s="2">
        <v>22</v>
      </c>
      <c r="G24" s="32" t="s">
        <v>22</v>
      </c>
      <c r="H24" s="29">
        <v>0</v>
      </c>
      <c r="I24" s="29">
        <v>74</v>
      </c>
      <c r="J24" s="29">
        <v>666</v>
      </c>
      <c r="K24" s="29">
        <v>37</v>
      </c>
      <c r="L24" s="33" t="s">
        <v>22</v>
      </c>
      <c r="M24" s="32" t="s">
        <v>23</v>
      </c>
      <c r="N24" s="29">
        <v>69</v>
      </c>
      <c r="O24" s="29">
        <v>69</v>
      </c>
      <c r="P24" s="29">
        <v>828</v>
      </c>
      <c r="Q24" s="29">
        <v>46</v>
      </c>
      <c r="R24" s="33" t="s">
        <v>22</v>
      </c>
      <c r="S24" s="32" t="s">
        <v>22</v>
      </c>
      <c r="T24" s="29">
        <v>0</v>
      </c>
      <c r="U24" s="29">
        <v>32</v>
      </c>
      <c r="V24" s="29">
        <v>576</v>
      </c>
      <c r="W24" s="29">
        <v>16</v>
      </c>
      <c r="X24" s="33" t="s">
        <v>23</v>
      </c>
      <c r="Y24" s="29">
        <v>2070</v>
      </c>
      <c r="Z24" s="29">
        <v>99</v>
      </c>
    </row>
    <row r="25" spans="1:26" x14ac:dyDescent="0.35">
      <c r="A25" s="38" t="s">
        <v>44</v>
      </c>
      <c r="B25" s="29" t="s">
        <v>48</v>
      </c>
      <c r="C25" s="29" t="s">
        <v>48</v>
      </c>
      <c r="D25" s="29" t="s">
        <v>48</v>
      </c>
      <c r="F25" s="2">
        <v>23</v>
      </c>
      <c r="G25" s="32" t="s">
        <v>22</v>
      </c>
      <c r="H25" s="29">
        <v>0</v>
      </c>
      <c r="I25" s="29">
        <v>37</v>
      </c>
      <c r="J25" s="29">
        <v>333</v>
      </c>
      <c r="K25" s="29">
        <v>0</v>
      </c>
      <c r="L25" s="33" t="s">
        <v>22</v>
      </c>
      <c r="M25" s="32" t="s">
        <v>22</v>
      </c>
      <c r="N25" s="29">
        <v>0</v>
      </c>
      <c r="O25" s="29">
        <v>46</v>
      </c>
      <c r="P25" s="29">
        <v>552</v>
      </c>
      <c r="Q25" s="29">
        <v>23</v>
      </c>
      <c r="R25" s="33" t="s">
        <v>23</v>
      </c>
      <c r="S25" s="32" t="s">
        <v>22</v>
      </c>
      <c r="T25" s="29">
        <v>0</v>
      </c>
      <c r="U25" s="29">
        <v>16</v>
      </c>
      <c r="V25" s="29">
        <v>288</v>
      </c>
      <c r="W25" s="29">
        <v>0</v>
      </c>
      <c r="X25" s="33" t="s">
        <v>22</v>
      </c>
      <c r="Y25" s="29">
        <v>1173</v>
      </c>
      <c r="Z25" s="29">
        <v>23</v>
      </c>
    </row>
    <row r="26" spans="1:26" x14ac:dyDescent="0.35">
      <c r="A26" s="38"/>
      <c r="F26" s="2">
        <v>24</v>
      </c>
      <c r="G26" s="32" t="s">
        <v>23</v>
      </c>
      <c r="H26" s="29">
        <v>148</v>
      </c>
      <c r="I26" s="29">
        <v>148</v>
      </c>
      <c r="J26" s="29">
        <v>1332</v>
      </c>
      <c r="K26" s="29">
        <v>111</v>
      </c>
      <c r="L26" s="33" t="s">
        <v>22</v>
      </c>
      <c r="M26" s="32" t="s">
        <v>22</v>
      </c>
      <c r="N26" s="29">
        <v>0</v>
      </c>
      <c r="O26" s="29">
        <v>23</v>
      </c>
      <c r="P26" s="29">
        <v>276</v>
      </c>
      <c r="Q26" s="29">
        <v>0</v>
      </c>
      <c r="R26" s="33" t="s">
        <v>22</v>
      </c>
      <c r="S26" s="32" t="s">
        <v>23</v>
      </c>
      <c r="T26" s="29">
        <v>48</v>
      </c>
      <c r="U26" s="29">
        <v>48</v>
      </c>
      <c r="V26" s="29">
        <v>864</v>
      </c>
      <c r="W26" s="29">
        <v>32</v>
      </c>
      <c r="X26" s="33" t="s">
        <v>22</v>
      </c>
      <c r="Y26" s="29">
        <v>2472</v>
      </c>
      <c r="Z26" s="29">
        <v>143</v>
      </c>
    </row>
    <row r="27" spans="1:26" x14ac:dyDescent="0.35">
      <c r="A27" s="38"/>
      <c r="F27" s="2">
        <v>25</v>
      </c>
      <c r="G27" s="32" t="s">
        <v>22</v>
      </c>
      <c r="H27" s="29">
        <v>0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23</v>
      </c>
      <c r="N27" s="29">
        <v>69</v>
      </c>
      <c r="O27" s="29">
        <v>69</v>
      </c>
      <c r="P27" s="29">
        <v>828</v>
      </c>
      <c r="Q27" s="29">
        <v>46</v>
      </c>
      <c r="R27" s="33" t="s">
        <v>22</v>
      </c>
      <c r="S27" s="32" t="s">
        <v>22</v>
      </c>
      <c r="T27" s="29">
        <v>0</v>
      </c>
      <c r="U27" s="29">
        <v>32</v>
      </c>
      <c r="V27" s="29">
        <v>576</v>
      </c>
      <c r="W27" s="29">
        <v>16</v>
      </c>
      <c r="X27" s="33" t="s">
        <v>23</v>
      </c>
      <c r="Y27" s="29">
        <v>2403</v>
      </c>
      <c r="Z27" s="29">
        <v>136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29">
        <v>46</v>
      </c>
      <c r="P28" s="29">
        <v>552</v>
      </c>
      <c r="Q28" s="29">
        <v>23</v>
      </c>
      <c r="R28" s="33" t="s">
        <v>23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1506</v>
      </c>
      <c r="Z28" s="29">
        <v>60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22</v>
      </c>
      <c r="N29" s="29">
        <v>0</v>
      </c>
      <c r="O29" s="29">
        <v>23</v>
      </c>
      <c r="P29" s="29">
        <v>276</v>
      </c>
      <c r="Q29" s="29">
        <v>0</v>
      </c>
      <c r="R29" s="33" t="s">
        <v>22</v>
      </c>
      <c r="S29" s="32" t="s">
        <v>23</v>
      </c>
      <c r="T29" s="29">
        <v>48</v>
      </c>
      <c r="U29" s="29">
        <v>48</v>
      </c>
      <c r="V29" s="29">
        <v>864</v>
      </c>
      <c r="W29" s="29">
        <v>32</v>
      </c>
      <c r="X29" s="33" t="s">
        <v>22</v>
      </c>
      <c r="Y29" s="29">
        <v>1473</v>
      </c>
      <c r="Z29" s="29">
        <v>32</v>
      </c>
    </row>
    <row r="30" spans="1:26" x14ac:dyDescent="0.35">
      <c r="A30" s="38" t="s">
        <v>35</v>
      </c>
      <c r="B30" s="30">
        <f t="shared" ref="B30:D31" si="0">B3</f>
        <v>148</v>
      </c>
      <c r="C30" s="30">
        <f t="shared" si="0"/>
        <v>69</v>
      </c>
      <c r="D30" s="30">
        <f t="shared" si="0"/>
        <v>48</v>
      </c>
      <c r="F30" s="17">
        <v>28</v>
      </c>
      <c r="G30" s="43" t="s">
        <v>23</v>
      </c>
      <c r="H30" s="41">
        <v>148</v>
      </c>
      <c r="I30" s="41">
        <v>148</v>
      </c>
      <c r="J30" s="41">
        <v>1332</v>
      </c>
      <c r="K30" s="41">
        <v>111</v>
      </c>
      <c r="L30" s="44" t="s">
        <v>22</v>
      </c>
      <c r="M30" s="43" t="s">
        <v>23</v>
      </c>
      <c r="N30" s="41">
        <v>69</v>
      </c>
      <c r="O30" s="41">
        <v>69</v>
      </c>
      <c r="P30" s="41">
        <v>828</v>
      </c>
      <c r="Q30" s="41">
        <v>46</v>
      </c>
      <c r="R30" s="44" t="s">
        <v>22</v>
      </c>
      <c r="S30" s="43" t="s">
        <v>22</v>
      </c>
      <c r="T30" s="41">
        <v>0</v>
      </c>
      <c r="U30" s="41">
        <v>32</v>
      </c>
      <c r="V30" s="41">
        <v>576</v>
      </c>
      <c r="W30" s="41">
        <v>16</v>
      </c>
      <c r="X30" s="44" t="s">
        <v>23</v>
      </c>
      <c r="Y30" s="41">
        <v>2736</v>
      </c>
      <c r="Z30" s="29">
        <v>173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23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111</v>
      </c>
      <c r="J31" s="29">
        <v>999</v>
      </c>
      <c r="K31" s="29">
        <v>74</v>
      </c>
      <c r="L31" s="33" t="s">
        <v>23</v>
      </c>
      <c r="M31" s="32" t="s">
        <v>22</v>
      </c>
      <c r="N31" s="29">
        <v>0</v>
      </c>
      <c r="O31" s="29">
        <v>46</v>
      </c>
      <c r="P31" s="29">
        <v>552</v>
      </c>
      <c r="Q31" s="29">
        <v>23</v>
      </c>
      <c r="R31" s="33" t="s">
        <v>23</v>
      </c>
      <c r="S31" s="32" t="s">
        <v>22</v>
      </c>
      <c r="T31" s="29">
        <v>0</v>
      </c>
      <c r="U31" s="29">
        <v>16</v>
      </c>
      <c r="V31" s="29">
        <v>288</v>
      </c>
      <c r="W31" s="29">
        <v>0</v>
      </c>
      <c r="X31" s="33" t="s">
        <v>22</v>
      </c>
      <c r="Y31" s="29">
        <v>1839</v>
      </c>
      <c r="Z31" s="29">
        <v>97</v>
      </c>
    </row>
    <row r="32" spans="1:26" x14ac:dyDescent="0.35">
      <c r="A32" s="38" t="s">
        <v>45</v>
      </c>
      <c r="B32" s="47">
        <f>B22-13</f>
        <v>-9</v>
      </c>
      <c r="E32" s="30"/>
      <c r="F32" s="2">
        <v>30</v>
      </c>
      <c r="G32" s="32" t="s">
        <v>22</v>
      </c>
      <c r="H32" s="29">
        <v>0</v>
      </c>
      <c r="I32" s="29">
        <v>74</v>
      </c>
      <c r="J32" s="29">
        <v>666</v>
      </c>
      <c r="K32" s="29">
        <v>37</v>
      </c>
      <c r="L32" s="33" t="s">
        <v>22</v>
      </c>
      <c r="M32" s="32" t="s">
        <v>22</v>
      </c>
      <c r="N32" s="29">
        <v>0</v>
      </c>
      <c r="O32" s="29">
        <v>23</v>
      </c>
      <c r="P32" s="29">
        <v>276</v>
      </c>
      <c r="Q32" s="29">
        <v>0</v>
      </c>
      <c r="R32" s="33" t="s">
        <v>22</v>
      </c>
      <c r="S32" s="32" t="s">
        <v>23</v>
      </c>
      <c r="T32" s="29">
        <v>48</v>
      </c>
      <c r="U32" s="29">
        <v>48</v>
      </c>
      <c r="V32" s="29">
        <v>864</v>
      </c>
      <c r="W32" s="29">
        <v>32</v>
      </c>
      <c r="X32" s="33" t="s">
        <v>22</v>
      </c>
      <c r="Y32" s="29">
        <v>1806</v>
      </c>
      <c r="Z32" s="29">
        <v>69</v>
      </c>
    </row>
    <row r="33" spans="1:26" x14ac:dyDescent="0.35">
      <c r="A33" s="38" t="s">
        <v>46</v>
      </c>
      <c r="B33" s="45">
        <f>B21-507911.75</f>
        <v>39970.949999999953</v>
      </c>
      <c r="F33" s="2">
        <v>31</v>
      </c>
      <c r="G33" s="32" t="s">
        <v>22</v>
      </c>
      <c r="H33" s="29">
        <v>0</v>
      </c>
      <c r="I33" s="29">
        <v>37</v>
      </c>
      <c r="J33" s="29">
        <v>333</v>
      </c>
      <c r="K33" s="29">
        <v>0</v>
      </c>
      <c r="L33" s="33" t="s">
        <v>22</v>
      </c>
      <c r="M33" s="32" t="s">
        <v>23</v>
      </c>
      <c r="N33" s="29">
        <v>69</v>
      </c>
      <c r="O33" s="29">
        <v>69</v>
      </c>
      <c r="P33" s="29">
        <v>828</v>
      </c>
      <c r="Q33" s="29">
        <v>46</v>
      </c>
      <c r="R33" s="33" t="s">
        <v>22</v>
      </c>
      <c r="S33" s="32" t="s">
        <v>22</v>
      </c>
      <c r="T33" s="29">
        <v>0</v>
      </c>
      <c r="U33" s="29">
        <v>32</v>
      </c>
      <c r="V33" s="29">
        <v>576</v>
      </c>
      <c r="W33" s="29">
        <v>16</v>
      </c>
      <c r="X33" s="33" t="s">
        <v>23</v>
      </c>
      <c r="Y33" s="29">
        <v>1737</v>
      </c>
      <c r="Z33" s="29">
        <v>62</v>
      </c>
    </row>
    <row r="34" spans="1:26" x14ac:dyDescent="0.35">
      <c r="F34" s="2">
        <v>32</v>
      </c>
      <c r="G34" s="32" t="s">
        <v>23</v>
      </c>
      <c r="H34" s="29">
        <v>148</v>
      </c>
      <c r="I34" s="29">
        <v>148</v>
      </c>
      <c r="J34" s="29">
        <v>1332</v>
      </c>
      <c r="K34" s="29">
        <v>111</v>
      </c>
      <c r="L34" s="33" t="s">
        <v>22</v>
      </c>
      <c r="M34" s="32" t="s">
        <v>22</v>
      </c>
      <c r="N34" s="29">
        <v>0</v>
      </c>
      <c r="O34" s="29">
        <v>46</v>
      </c>
      <c r="P34" s="29">
        <v>552</v>
      </c>
      <c r="Q34" s="29">
        <v>23</v>
      </c>
      <c r="R34" s="33" t="s">
        <v>23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2172</v>
      </c>
      <c r="Z34" s="29">
        <v>134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111</v>
      </c>
      <c r="J35" s="29">
        <v>999</v>
      </c>
      <c r="K35" s="29">
        <v>74</v>
      </c>
      <c r="L35" s="33" t="s">
        <v>23</v>
      </c>
      <c r="M35" s="32" t="s">
        <v>22</v>
      </c>
      <c r="N35" s="29">
        <v>0</v>
      </c>
      <c r="O35" s="29">
        <v>23</v>
      </c>
      <c r="P35" s="29">
        <v>276</v>
      </c>
      <c r="Q35" s="29">
        <v>0</v>
      </c>
      <c r="R35" s="33" t="s">
        <v>22</v>
      </c>
      <c r="S35" s="32" t="s">
        <v>23</v>
      </c>
      <c r="T35" s="29">
        <v>48</v>
      </c>
      <c r="U35" s="29">
        <v>48</v>
      </c>
      <c r="V35" s="29">
        <v>864</v>
      </c>
      <c r="W35" s="29">
        <v>32</v>
      </c>
      <c r="X35" s="33" t="s">
        <v>22</v>
      </c>
      <c r="Y35" s="29">
        <v>2139</v>
      </c>
      <c r="Z35" s="29">
        <v>106</v>
      </c>
    </row>
    <row r="36" spans="1:26" x14ac:dyDescent="0.35">
      <c r="A36" s="38" t="s">
        <v>41</v>
      </c>
      <c r="B36" s="34"/>
      <c r="F36" s="2">
        <v>34</v>
      </c>
      <c r="G36" s="32" t="s">
        <v>22</v>
      </c>
      <c r="H36" s="29">
        <v>0</v>
      </c>
      <c r="I36" s="29">
        <v>74</v>
      </c>
      <c r="J36" s="29">
        <v>666</v>
      </c>
      <c r="K36" s="29">
        <v>37</v>
      </c>
      <c r="L36" s="33" t="s">
        <v>22</v>
      </c>
      <c r="M36" s="32" t="s">
        <v>23</v>
      </c>
      <c r="N36" s="29">
        <v>69</v>
      </c>
      <c r="O36" s="29">
        <v>69</v>
      </c>
      <c r="P36" s="29">
        <v>828</v>
      </c>
      <c r="Q36" s="29">
        <v>46</v>
      </c>
      <c r="R36" s="33" t="s">
        <v>22</v>
      </c>
      <c r="S36" s="32" t="s">
        <v>22</v>
      </c>
      <c r="T36" s="29">
        <v>0</v>
      </c>
      <c r="U36" s="29">
        <v>32</v>
      </c>
      <c r="V36" s="29">
        <v>576</v>
      </c>
      <c r="W36" s="29">
        <v>16</v>
      </c>
      <c r="X36" s="33" t="s">
        <v>23</v>
      </c>
      <c r="Y36" s="29">
        <v>2070</v>
      </c>
      <c r="Z36" s="29">
        <v>99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37</v>
      </c>
      <c r="J37" s="29">
        <v>333</v>
      </c>
      <c r="K37" s="29">
        <v>0</v>
      </c>
      <c r="L37" s="33" t="s">
        <v>22</v>
      </c>
      <c r="M37" s="32" t="s">
        <v>22</v>
      </c>
      <c r="N37" s="29">
        <v>0</v>
      </c>
      <c r="O37" s="29">
        <v>46</v>
      </c>
      <c r="P37" s="29">
        <v>552</v>
      </c>
      <c r="Q37" s="29">
        <v>23</v>
      </c>
      <c r="R37" s="33" t="s">
        <v>23</v>
      </c>
      <c r="S37" s="32" t="s">
        <v>22</v>
      </c>
      <c r="T37" s="29">
        <v>0</v>
      </c>
      <c r="U37" s="29">
        <v>16</v>
      </c>
      <c r="V37" s="29">
        <v>288</v>
      </c>
      <c r="W37" s="29">
        <v>0</v>
      </c>
      <c r="X37" s="33" t="s">
        <v>22</v>
      </c>
      <c r="Y37" s="29">
        <v>1173</v>
      </c>
      <c r="Z37" s="29">
        <v>23</v>
      </c>
    </row>
    <row r="38" spans="1:26" x14ac:dyDescent="0.35">
      <c r="F38" s="2">
        <v>36</v>
      </c>
      <c r="G38" s="32" t="s">
        <v>23</v>
      </c>
      <c r="H38" s="29">
        <v>148</v>
      </c>
      <c r="I38" s="29">
        <v>148</v>
      </c>
      <c r="J38" s="29">
        <v>1332</v>
      </c>
      <c r="K38" s="29">
        <v>111</v>
      </c>
      <c r="L38" s="33" t="s">
        <v>22</v>
      </c>
      <c r="M38" s="32" t="s">
        <v>22</v>
      </c>
      <c r="N38" s="29">
        <v>0</v>
      </c>
      <c r="O38" s="29">
        <v>23</v>
      </c>
      <c r="P38" s="29">
        <v>276</v>
      </c>
      <c r="Q38" s="29">
        <v>0</v>
      </c>
      <c r="R38" s="33" t="s">
        <v>22</v>
      </c>
      <c r="S38" s="32" t="s">
        <v>23</v>
      </c>
      <c r="T38" s="29">
        <v>48</v>
      </c>
      <c r="U38" s="29">
        <v>48</v>
      </c>
      <c r="V38" s="29">
        <v>864</v>
      </c>
      <c r="W38" s="29">
        <v>32</v>
      </c>
      <c r="X38" s="33" t="s">
        <v>22</v>
      </c>
      <c r="Y38" s="29">
        <v>2472</v>
      </c>
      <c r="Z38" s="29">
        <v>143</v>
      </c>
    </row>
    <row r="39" spans="1:26" x14ac:dyDescent="0.35">
      <c r="F39" s="2">
        <v>37</v>
      </c>
      <c r="G39" s="32" t="s">
        <v>22</v>
      </c>
      <c r="H39" s="29">
        <v>0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23</v>
      </c>
      <c r="N39" s="29">
        <v>69</v>
      </c>
      <c r="O39" s="29">
        <v>69</v>
      </c>
      <c r="P39" s="29">
        <v>828</v>
      </c>
      <c r="Q39" s="29">
        <v>46</v>
      </c>
      <c r="R39" s="33" t="s">
        <v>22</v>
      </c>
      <c r="S39" s="32" t="s">
        <v>22</v>
      </c>
      <c r="T39" s="29">
        <v>0</v>
      </c>
      <c r="U39" s="29">
        <v>32</v>
      </c>
      <c r="V39" s="29">
        <v>576</v>
      </c>
      <c r="W39" s="29">
        <v>16</v>
      </c>
      <c r="X39" s="33" t="s">
        <v>23</v>
      </c>
      <c r="Y39" s="29">
        <v>2403</v>
      </c>
      <c r="Z39" s="29">
        <v>136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29">
        <v>46</v>
      </c>
      <c r="P40" s="29">
        <v>552</v>
      </c>
      <c r="Q40" s="29">
        <v>23</v>
      </c>
      <c r="R40" s="33" t="s">
        <v>23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1506</v>
      </c>
      <c r="Z40" s="29">
        <v>60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22</v>
      </c>
      <c r="N41" s="29">
        <v>0</v>
      </c>
      <c r="O41" s="29">
        <v>23</v>
      </c>
      <c r="P41" s="29">
        <v>276</v>
      </c>
      <c r="Q41" s="29">
        <v>0</v>
      </c>
      <c r="R41" s="33" t="s">
        <v>22</v>
      </c>
      <c r="S41" s="32" t="s">
        <v>23</v>
      </c>
      <c r="T41" s="29">
        <v>48</v>
      </c>
      <c r="U41" s="29">
        <v>48</v>
      </c>
      <c r="V41" s="29">
        <v>864</v>
      </c>
      <c r="W41" s="29">
        <v>32</v>
      </c>
      <c r="X41" s="33" t="s">
        <v>22</v>
      </c>
      <c r="Y41" s="29">
        <v>1473</v>
      </c>
      <c r="Z41" s="29">
        <v>32</v>
      </c>
    </row>
    <row r="42" spans="1:26" x14ac:dyDescent="0.35">
      <c r="F42" s="17">
        <v>40</v>
      </c>
      <c r="G42" s="43" t="s">
        <v>23</v>
      </c>
      <c r="H42" s="41">
        <v>148</v>
      </c>
      <c r="I42" s="41">
        <v>148</v>
      </c>
      <c r="J42" s="41">
        <v>1332</v>
      </c>
      <c r="K42" s="41">
        <v>111</v>
      </c>
      <c r="L42" s="44" t="s">
        <v>22</v>
      </c>
      <c r="M42" s="43" t="s">
        <v>23</v>
      </c>
      <c r="N42" s="41">
        <v>69</v>
      </c>
      <c r="O42" s="41">
        <v>69</v>
      </c>
      <c r="P42" s="41">
        <v>828</v>
      </c>
      <c r="Q42" s="41">
        <v>46</v>
      </c>
      <c r="R42" s="44" t="s">
        <v>22</v>
      </c>
      <c r="S42" s="43" t="s">
        <v>22</v>
      </c>
      <c r="T42" s="41">
        <v>0</v>
      </c>
      <c r="U42" s="41">
        <v>32</v>
      </c>
      <c r="V42" s="41">
        <v>576</v>
      </c>
      <c r="W42" s="41">
        <v>16</v>
      </c>
      <c r="X42" s="44" t="s">
        <v>23</v>
      </c>
      <c r="Y42" s="41">
        <v>2736</v>
      </c>
      <c r="Z42" s="29">
        <v>173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111</v>
      </c>
      <c r="J43" s="29">
        <v>999</v>
      </c>
      <c r="K43" s="29">
        <v>74</v>
      </c>
      <c r="L43" s="33" t="s">
        <v>23</v>
      </c>
      <c r="M43" s="32" t="s">
        <v>22</v>
      </c>
      <c r="N43" s="29">
        <v>0</v>
      </c>
      <c r="O43" s="29">
        <v>46</v>
      </c>
      <c r="P43" s="29">
        <v>552</v>
      </c>
      <c r="Q43" s="29">
        <v>23</v>
      </c>
      <c r="R43" s="33" t="s">
        <v>23</v>
      </c>
      <c r="S43" s="32" t="s">
        <v>22</v>
      </c>
      <c r="T43" s="29">
        <v>0</v>
      </c>
      <c r="U43" s="29">
        <v>16</v>
      </c>
      <c r="V43" s="29">
        <v>288</v>
      </c>
      <c r="W43" s="29">
        <v>0</v>
      </c>
      <c r="X43" s="33" t="s">
        <v>22</v>
      </c>
      <c r="Y43" s="29">
        <v>1839</v>
      </c>
      <c r="Z43" s="29">
        <v>97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74</v>
      </c>
      <c r="J44" s="29">
        <v>666</v>
      </c>
      <c r="K44" s="29">
        <v>37</v>
      </c>
      <c r="L44" s="33" t="s">
        <v>22</v>
      </c>
      <c r="M44" s="32" t="s">
        <v>22</v>
      </c>
      <c r="N44" s="29">
        <v>0</v>
      </c>
      <c r="O44" s="29">
        <v>23</v>
      </c>
      <c r="P44" s="29">
        <v>276</v>
      </c>
      <c r="Q44" s="29">
        <v>0</v>
      </c>
      <c r="R44" s="33" t="s">
        <v>22</v>
      </c>
      <c r="S44" s="32" t="s">
        <v>23</v>
      </c>
      <c r="T44" s="29">
        <v>48</v>
      </c>
      <c r="U44" s="29">
        <v>48</v>
      </c>
      <c r="V44" s="29">
        <v>864</v>
      </c>
      <c r="W44" s="29">
        <v>32</v>
      </c>
      <c r="X44" s="33" t="s">
        <v>22</v>
      </c>
      <c r="Y44" s="29">
        <v>1806</v>
      </c>
      <c r="Z44" s="29">
        <v>69</v>
      </c>
    </row>
    <row r="45" spans="1:26" x14ac:dyDescent="0.35">
      <c r="F45" s="2">
        <v>43</v>
      </c>
      <c r="G45" s="32" t="s">
        <v>22</v>
      </c>
      <c r="H45" s="29">
        <v>0</v>
      </c>
      <c r="I45" s="29">
        <v>37</v>
      </c>
      <c r="J45" s="29">
        <v>333</v>
      </c>
      <c r="K45" s="29">
        <v>0</v>
      </c>
      <c r="L45" s="33" t="s">
        <v>22</v>
      </c>
      <c r="M45" s="32" t="s">
        <v>23</v>
      </c>
      <c r="N45" s="29">
        <v>69</v>
      </c>
      <c r="O45" s="29">
        <v>69</v>
      </c>
      <c r="P45" s="29">
        <v>828</v>
      </c>
      <c r="Q45" s="29">
        <v>46</v>
      </c>
      <c r="R45" s="33" t="s">
        <v>22</v>
      </c>
      <c r="S45" s="32" t="s">
        <v>22</v>
      </c>
      <c r="T45" s="29">
        <v>0</v>
      </c>
      <c r="U45" s="29">
        <v>32</v>
      </c>
      <c r="V45" s="29">
        <v>576</v>
      </c>
      <c r="W45" s="29">
        <v>16</v>
      </c>
      <c r="X45" s="33" t="s">
        <v>23</v>
      </c>
      <c r="Y45" s="29">
        <v>1737</v>
      </c>
      <c r="Z45" s="29">
        <v>62</v>
      </c>
    </row>
    <row r="46" spans="1:26" x14ac:dyDescent="0.35">
      <c r="F46" s="2">
        <v>44</v>
      </c>
      <c r="G46" s="32" t="s">
        <v>23</v>
      </c>
      <c r="H46" s="29">
        <v>148</v>
      </c>
      <c r="I46" s="29">
        <v>148</v>
      </c>
      <c r="J46" s="29">
        <v>1332</v>
      </c>
      <c r="K46" s="29">
        <v>111</v>
      </c>
      <c r="L46" s="33" t="s">
        <v>22</v>
      </c>
      <c r="M46" s="32" t="s">
        <v>22</v>
      </c>
      <c r="N46" s="29">
        <v>0</v>
      </c>
      <c r="O46" s="29">
        <v>46</v>
      </c>
      <c r="P46" s="29">
        <v>552</v>
      </c>
      <c r="Q46" s="29">
        <v>23</v>
      </c>
      <c r="R46" s="33" t="s">
        <v>23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2172</v>
      </c>
      <c r="Z46" s="29">
        <v>134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111</v>
      </c>
      <c r="J47" s="29">
        <v>999</v>
      </c>
      <c r="K47" s="29">
        <v>74</v>
      </c>
      <c r="L47" s="33" t="s">
        <v>23</v>
      </c>
      <c r="M47" s="32" t="s">
        <v>22</v>
      </c>
      <c r="N47" s="29">
        <v>0</v>
      </c>
      <c r="O47" s="29">
        <v>23</v>
      </c>
      <c r="P47" s="29">
        <v>276</v>
      </c>
      <c r="Q47" s="29">
        <v>0</v>
      </c>
      <c r="R47" s="33" t="s">
        <v>22</v>
      </c>
      <c r="S47" s="32" t="s">
        <v>23</v>
      </c>
      <c r="T47" s="29">
        <v>48</v>
      </c>
      <c r="U47" s="29">
        <v>48</v>
      </c>
      <c r="V47" s="29">
        <v>864</v>
      </c>
      <c r="W47" s="29">
        <v>32</v>
      </c>
      <c r="X47" s="33" t="s">
        <v>22</v>
      </c>
      <c r="Y47" s="29">
        <v>2139</v>
      </c>
      <c r="Z47" s="29">
        <v>106</v>
      </c>
    </row>
    <row r="48" spans="1:26" x14ac:dyDescent="0.35">
      <c r="F48" s="2">
        <v>46</v>
      </c>
      <c r="G48" s="32" t="s">
        <v>22</v>
      </c>
      <c r="H48" s="29">
        <v>0</v>
      </c>
      <c r="I48" s="29">
        <v>74</v>
      </c>
      <c r="J48" s="29">
        <v>666</v>
      </c>
      <c r="K48" s="29">
        <v>37</v>
      </c>
      <c r="L48" s="33" t="s">
        <v>22</v>
      </c>
      <c r="M48" s="32" t="s">
        <v>23</v>
      </c>
      <c r="N48" s="29">
        <v>69</v>
      </c>
      <c r="O48" s="29">
        <v>69</v>
      </c>
      <c r="P48" s="29">
        <v>828</v>
      </c>
      <c r="Q48" s="29">
        <v>46</v>
      </c>
      <c r="R48" s="33" t="s">
        <v>22</v>
      </c>
      <c r="S48" s="32" t="s">
        <v>22</v>
      </c>
      <c r="T48" s="29">
        <v>0</v>
      </c>
      <c r="U48" s="29">
        <v>32</v>
      </c>
      <c r="V48" s="29">
        <v>576</v>
      </c>
      <c r="W48" s="29">
        <v>16</v>
      </c>
      <c r="X48" s="33" t="s">
        <v>23</v>
      </c>
      <c r="Y48" s="29">
        <v>2070</v>
      </c>
      <c r="Z48" s="29">
        <v>99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37</v>
      </c>
      <c r="J49" s="29">
        <v>333</v>
      </c>
      <c r="K49" s="29">
        <v>0</v>
      </c>
      <c r="L49" s="33" t="s">
        <v>22</v>
      </c>
      <c r="M49" s="32" t="s">
        <v>22</v>
      </c>
      <c r="N49" s="29">
        <v>0</v>
      </c>
      <c r="O49" s="29">
        <v>46</v>
      </c>
      <c r="P49" s="29">
        <v>552</v>
      </c>
      <c r="Q49" s="29">
        <v>23</v>
      </c>
      <c r="R49" s="33" t="s">
        <v>23</v>
      </c>
      <c r="S49" s="32" t="s">
        <v>22</v>
      </c>
      <c r="T49" s="29">
        <v>0</v>
      </c>
      <c r="U49" s="29">
        <v>16</v>
      </c>
      <c r="V49" s="29">
        <v>288</v>
      </c>
      <c r="W49" s="29">
        <v>0</v>
      </c>
      <c r="X49" s="33" t="s">
        <v>22</v>
      </c>
      <c r="Y49" s="29">
        <v>1173</v>
      </c>
      <c r="Z49" s="29">
        <v>23</v>
      </c>
    </row>
    <row r="50" spans="6:26" x14ac:dyDescent="0.35">
      <c r="F50" s="2">
        <v>48</v>
      </c>
      <c r="G50" s="32" t="s">
        <v>23</v>
      </c>
      <c r="H50" s="29">
        <v>148</v>
      </c>
      <c r="I50" s="29">
        <v>148</v>
      </c>
      <c r="J50" s="29">
        <v>1332</v>
      </c>
      <c r="K50" s="29">
        <v>111</v>
      </c>
      <c r="L50" s="33" t="s">
        <v>22</v>
      </c>
      <c r="M50" s="32" t="s">
        <v>22</v>
      </c>
      <c r="N50" s="29">
        <v>0</v>
      </c>
      <c r="O50" s="29">
        <v>23</v>
      </c>
      <c r="P50" s="29">
        <v>276</v>
      </c>
      <c r="Q50" s="29">
        <v>0</v>
      </c>
      <c r="R50" s="33" t="s">
        <v>22</v>
      </c>
      <c r="S50" s="32" t="s">
        <v>23</v>
      </c>
      <c r="T50" s="29">
        <v>48</v>
      </c>
      <c r="U50" s="29">
        <v>48</v>
      </c>
      <c r="V50" s="29">
        <v>864</v>
      </c>
      <c r="W50" s="29">
        <v>32</v>
      </c>
      <c r="X50" s="33" t="s">
        <v>22</v>
      </c>
      <c r="Y50" s="29">
        <v>2472</v>
      </c>
      <c r="Z50" s="29">
        <v>143</v>
      </c>
    </row>
    <row r="51" spans="6:26" x14ac:dyDescent="0.35">
      <c r="F51" s="2">
        <v>49</v>
      </c>
      <c r="G51" s="32" t="s">
        <v>22</v>
      </c>
      <c r="H51" s="29">
        <v>0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23</v>
      </c>
      <c r="N51" s="29">
        <v>69</v>
      </c>
      <c r="O51" s="29">
        <v>69</v>
      </c>
      <c r="P51" s="29">
        <v>828</v>
      </c>
      <c r="Q51" s="29">
        <v>46</v>
      </c>
      <c r="R51" s="33" t="s">
        <v>22</v>
      </c>
      <c r="S51" s="32" t="s">
        <v>22</v>
      </c>
      <c r="T51" s="29">
        <v>0</v>
      </c>
      <c r="U51" s="29">
        <v>32</v>
      </c>
      <c r="V51" s="29">
        <v>576</v>
      </c>
      <c r="W51" s="29">
        <v>16</v>
      </c>
      <c r="X51" s="33" t="s">
        <v>23</v>
      </c>
      <c r="Y51" s="29">
        <v>2403</v>
      </c>
      <c r="Z51" s="29">
        <v>136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29">
        <v>46</v>
      </c>
      <c r="P52" s="29">
        <v>552</v>
      </c>
      <c r="Q52" s="29">
        <v>23</v>
      </c>
      <c r="R52" s="33" t="s">
        <v>23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1506</v>
      </c>
      <c r="Z52" s="29">
        <v>60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7CD5C-FC09-4FB0-9FDF-0390DC257C16}">
  <sheetPr codeName="Sheet6"/>
  <dimension ref="A1:Z53"/>
  <sheetViews>
    <sheetView topLeftCell="A22" zoomScale="90" zoomScaleNormal="90" workbookViewId="0">
      <selection activeCell="C24" sqref="C24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148</v>
      </c>
      <c r="C3" s="16">
        <v>46</v>
      </c>
      <c r="D3" s="16">
        <v>48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22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23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23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22</v>
      </c>
      <c r="N5" s="29">
        <v>0</v>
      </c>
      <c r="O5" s="34">
        <v>1</v>
      </c>
      <c r="P5" s="29">
        <v>12</v>
      </c>
      <c r="Q5" s="29">
        <v>0</v>
      </c>
      <c r="R5" s="33" t="s">
        <v>22</v>
      </c>
      <c r="S5" s="32" t="s">
        <v>23</v>
      </c>
      <c r="T5" s="29">
        <v>48</v>
      </c>
      <c r="U5" s="29">
        <v>48</v>
      </c>
      <c r="V5" s="29">
        <v>864</v>
      </c>
      <c r="W5" s="29">
        <v>32</v>
      </c>
      <c r="X5" s="33" t="s">
        <v>22</v>
      </c>
      <c r="Y5" s="29">
        <v>1209</v>
      </c>
      <c r="Z5" s="29">
        <v>32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148</v>
      </c>
      <c r="I6" s="29">
        <v>148</v>
      </c>
      <c r="J6" s="29">
        <v>1332</v>
      </c>
      <c r="K6" s="29">
        <v>111</v>
      </c>
      <c r="L6" s="33" t="s">
        <v>22</v>
      </c>
      <c r="M6" s="32" t="s">
        <v>23</v>
      </c>
      <c r="N6" s="29">
        <v>46</v>
      </c>
      <c r="O6" s="29">
        <v>46</v>
      </c>
      <c r="P6" s="29">
        <v>552</v>
      </c>
      <c r="Q6" s="29">
        <v>23</v>
      </c>
      <c r="R6" s="33" t="s">
        <v>23</v>
      </c>
      <c r="S6" s="32" t="s">
        <v>22</v>
      </c>
      <c r="T6" s="29">
        <v>0</v>
      </c>
      <c r="U6" s="29">
        <v>32</v>
      </c>
      <c r="V6" s="29">
        <v>576</v>
      </c>
      <c r="W6" s="29">
        <v>16</v>
      </c>
      <c r="X6" s="33" t="s">
        <v>23</v>
      </c>
      <c r="Y6" s="29">
        <v>2460</v>
      </c>
      <c r="Z6" s="29">
        <v>150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111</v>
      </c>
      <c r="J7" s="29">
        <v>999</v>
      </c>
      <c r="K7" s="29">
        <v>74</v>
      </c>
      <c r="L7" s="33" t="s">
        <v>23</v>
      </c>
      <c r="M7" s="32" t="s">
        <v>22</v>
      </c>
      <c r="N7" s="29">
        <v>0</v>
      </c>
      <c r="O7" s="29">
        <v>23</v>
      </c>
      <c r="P7" s="29">
        <v>276</v>
      </c>
      <c r="Q7" s="29">
        <v>0</v>
      </c>
      <c r="R7" s="33" t="s">
        <v>22</v>
      </c>
      <c r="S7" s="32" t="s">
        <v>22</v>
      </c>
      <c r="T7" s="29">
        <v>0</v>
      </c>
      <c r="U7" s="29">
        <v>16</v>
      </c>
      <c r="V7" s="29">
        <v>288</v>
      </c>
      <c r="W7" s="29">
        <v>0</v>
      </c>
      <c r="X7" s="33" t="s">
        <v>22</v>
      </c>
      <c r="Y7" s="29">
        <v>1563</v>
      </c>
      <c r="Z7" s="29">
        <v>74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74</v>
      </c>
      <c r="J8" s="29">
        <v>666</v>
      </c>
      <c r="K8" s="29">
        <v>37</v>
      </c>
      <c r="L8" s="33" t="s">
        <v>22</v>
      </c>
      <c r="M8" s="32" t="s">
        <v>23</v>
      </c>
      <c r="N8" s="29">
        <v>46</v>
      </c>
      <c r="O8" s="29">
        <v>46</v>
      </c>
      <c r="P8" s="29">
        <v>552</v>
      </c>
      <c r="Q8" s="29">
        <v>23</v>
      </c>
      <c r="R8" s="33" t="s">
        <v>23</v>
      </c>
      <c r="S8" s="32" t="s">
        <v>23</v>
      </c>
      <c r="T8" s="29">
        <v>48</v>
      </c>
      <c r="U8" s="29">
        <v>48</v>
      </c>
      <c r="V8" s="29">
        <v>864</v>
      </c>
      <c r="W8" s="29">
        <v>32</v>
      </c>
      <c r="X8" s="33" t="s">
        <v>22</v>
      </c>
      <c r="Y8" s="29">
        <v>2082</v>
      </c>
      <c r="Z8" s="29">
        <v>92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22</v>
      </c>
      <c r="H9" s="29">
        <v>0</v>
      </c>
      <c r="I9" s="29">
        <v>37</v>
      </c>
      <c r="J9" s="29">
        <v>333</v>
      </c>
      <c r="K9" s="29">
        <v>0</v>
      </c>
      <c r="L9" s="33" t="s">
        <v>22</v>
      </c>
      <c r="M9" s="32" t="s">
        <v>22</v>
      </c>
      <c r="N9" s="29">
        <v>0</v>
      </c>
      <c r="O9" s="29">
        <v>23</v>
      </c>
      <c r="P9" s="29">
        <v>276</v>
      </c>
      <c r="Q9" s="29">
        <v>0</v>
      </c>
      <c r="R9" s="33" t="s">
        <v>22</v>
      </c>
      <c r="S9" s="32" t="s">
        <v>22</v>
      </c>
      <c r="T9" s="29">
        <v>0</v>
      </c>
      <c r="U9" s="29">
        <v>32</v>
      </c>
      <c r="V9" s="29">
        <v>576</v>
      </c>
      <c r="W9" s="29">
        <v>16</v>
      </c>
      <c r="X9" s="33" t="s">
        <v>23</v>
      </c>
      <c r="Y9" s="29">
        <v>1185</v>
      </c>
      <c r="Z9" s="29">
        <v>16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23</v>
      </c>
      <c r="H10" s="29">
        <v>148</v>
      </c>
      <c r="I10" s="29">
        <v>148</v>
      </c>
      <c r="J10" s="29">
        <v>1332</v>
      </c>
      <c r="K10" s="29">
        <v>111</v>
      </c>
      <c r="L10" s="33" t="s">
        <v>22</v>
      </c>
      <c r="M10" s="32" t="s">
        <v>23</v>
      </c>
      <c r="N10" s="29">
        <v>46</v>
      </c>
      <c r="O10" s="29">
        <v>46</v>
      </c>
      <c r="P10" s="29">
        <v>552</v>
      </c>
      <c r="Q10" s="29">
        <v>23</v>
      </c>
      <c r="R10" s="33" t="s">
        <v>23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2172</v>
      </c>
      <c r="Z10" s="29">
        <v>134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111</v>
      </c>
      <c r="J11" s="29">
        <v>999</v>
      </c>
      <c r="K11" s="29">
        <v>74</v>
      </c>
      <c r="L11" s="33" t="s">
        <v>23</v>
      </c>
      <c r="M11" s="32" t="s">
        <v>22</v>
      </c>
      <c r="N11" s="29">
        <v>0</v>
      </c>
      <c r="O11" s="29">
        <v>23</v>
      </c>
      <c r="P11" s="29">
        <v>276</v>
      </c>
      <c r="Q11" s="29">
        <v>0</v>
      </c>
      <c r="R11" s="33" t="s">
        <v>22</v>
      </c>
      <c r="S11" s="32" t="s">
        <v>23</v>
      </c>
      <c r="T11" s="29">
        <v>48</v>
      </c>
      <c r="U11" s="29">
        <v>48</v>
      </c>
      <c r="V11" s="29">
        <v>864</v>
      </c>
      <c r="W11" s="29">
        <v>32</v>
      </c>
      <c r="X11" s="33" t="s">
        <v>22</v>
      </c>
      <c r="Y11" s="29">
        <v>2139</v>
      </c>
      <c r="Z11" s="29">
        <v>106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22</v>
      </c>
      <c r="H12" s="29">
        <v>0</v>
      </c>
      <c r="I12" s="29">
        <v>74</v>
      </c>
      <c r="J12" s="29">
        <v>666</v>
      </c>
      <c r="K12" s="29">
        <v>37</v>
      </c>
      <c r="L12" s="33" t="s">
        <v>22</v>
      </c>
      <c r="M12" s="32" t="s">
        <v>23</v>
      </c>
      <c r="N12" s="29">
        <v>46</v>
      </c>
      <c r="O12" s="29">
        <v>46</v>
      </c>
      <c r="P12" s="29">
        <v>552</v>
      </c>
      <c r="Q12" s="29">
        <v>23</v>
      </c>
      <c r="R12" s="33" t="s">
        <v>23</v>
      </c>
      <c r="S12" s="32" t="s">
        <v>22</v>
      </c>
      <c r="T12" s="29">
        <v>0</v>
      </c>
      <c r="U12" s="29">
        <v>32</v>
      </c>
      <c r="V12" s="29">
        <v>576</v>
      </c>
      <c r="W12" s="29">
        <v>16</v>
      </c>
      <c r="X12" s="33" t="s">
        <v>23</v>
      </c>
      <c r="Y12" s="29">
        <v>1794</v>
      </c>
      <c r="Z12" s="29">
        <v>76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37</v>
      </c>
      <c r="J13" s="29">
        <v>333</v>
      </c>
      <c r="K13" s="29">
        <v>0</v>
      </c>
      <c r="L13" s="33" t="s">
        <v>22</v>
      </c>
      <c r="M13" s="32" t="s">
        <v>22</v>
      </c>
      <c r="N13" s="29">
        <v>0</v>
      </c>
      <c r="O13" s="29">
        <v>23</v>
      </c>
      <c r="P13" s="29">
        <v>276</v>
      </c>
      <c r="Q13" s="29">
        <v>0</v>
      </c>
      <c r="R13" s="33" t="s">
        <v>22</v>
      </c>
      <c r="S13" s="32" t="s">
        <v>22</v>
      </c>
      <c r="T13" s="29">
        <v>0</v>
      </c>
      <c r="U13" s="29">
        <v>16</v>
      </c>
      <c r="V13" s="29">
        <v>288</v>
      </c>
      <c r="W13" s="29">
        <v>0</v>
      </c>
      <c r="X13" s="33" t="s">
        <v>22</v>
      </c>
      <c r="Y13" s="29">
        <v>897</v>
      </c>
      <c r="Z13" s="29">
        <v>0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17">
        <v>12</v>
      </c>
      <c r="G14" s="43" t="s">
        <v>23</v>
      </c>
      <c r="H14" s="41">
        <v>148</v>
      </c>
      <c r="I14" s="41">
        <v>148</v>
      </c>
      <c r="J14" s="41">
        <v>1332</v>
      </c>
      <c r="K14" s="41">
        <v>111</v>
      </c>
      <c r="L14" s="44" t="s">
        <v>22</v>
      </c>
      <c r="M14" s="43" t="s">
        <v>23</v>
      </c>
      <c r="N14" s="41">
        <v>46</v>
      </c>
      <c r="O14" s="41">
        <v>46</v>
      </c>
      <c r="P14" s="41">
        <v>552</v>
      </c>
      <c r="Q14" s="41">
        <v>23</v>
      </c>
      <c r="R14" s="44" t="s">
        <v>23</v>
      </c>
      <c r="S14" s="43" t="s">
        <v>23</v>
      </c>
      <c r="T14" s="41">
        <v>48</v>
      </c>
      <c r="U14" s="41">
        <v>48</v>
      </c>
      <c r="V14" s="41">
        <v>864</v>
      </c>
      <c r="W14" s="41">
        <v>32</v>
      </c>
      <c r="X14" s="44" t="s">
        <v>22</v>
      </c>
      <c r="Y14" s="41">
        <v>2748</v>
      </c>
      <c r="Z14" s="29">
        <v>166</v>
      </c>
    </row>
    <row r="15" spans="1:26" ht="15" thickBot="1" x14ac:dyDescent="0.4">
      <c r="A15" s="19" t="s">
        <v>28</v>
      </c>
      <c r="B15" s="26">
        <v>1776</v>
      </c>
      <c r="C15" s="26">
        <v>1104</v>
      </c>
      <c r="D15" s="26">
        <v>768</v>
      </c>
      <c r="E15" s="37">
        <v>3648</v>
      </c>
      <c r="F15" s="2">
        <v>13</v>
      </c>
      <c r="G15" s="32" t="s">
        <v>22</v>
      </c>
      <c r="H15" s="29">
        <v>0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22</v>
      </c>
      <c r="N15" s="29">
        <v>0</v>
      </c>
      <c r="O15" s="29">
        <v>23</v>
      </c>
      <c r="P15" s="29">
        <v>276</v>
      </c>
      <c r="Q15" s="29">
        <v>0</v>
      </c>
      <c r="R15" s="33" t="s">
        <v>22</v>
      </c>
      <c r="S15" s="32" t="s">
        <v>22</v>
      </c>
      <c r="T15" s="29">
        <v>0</v>
      </c>
      <c r="U15" s="29">
        <v>32</v>
      </c>
      <c r="V15" s="29">
        <v>576</v>
      </c>
      <c r="W15" s="29">
        <v>16</v>
      </c>
      <c r="X15" s="33" t="s">
        <v>23</v>
      </c>
      <c r="Y15" s="29">
        <v>1851</v>
      </c>
      <c r="Z15" s="29">
        <v>90</v>
      </c>
    </row>
    <row r="16" spans="1:26" ht="15" thickBot="1" x14ac:dyDescent="0.4">
      <c r="A16" s="18" t="s">
        <v>27</v>
      </c>
      <c r="B16" s="27">
        <v>12</v>
      </c>
      <c r="C16" s="27">
        <v>24</v>
      </c>
      <c r="D16" s="28">
        <v>16</v>
      </c>
      <c r="E16" s="37">
        <v>52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23</v>
      </c>
      <c r="N16" s="29">
        <v>46</v>
      </c>
      <c r="O16" s="29">
        <v>46</v>
      </c>
      <c r="P16" s="29">
        <v>552</v>
      </c>
      <c r="Q16" s="29">
        <v>23</v>
      </c>
      <c r="R16" s="33" t="s">
        <v>23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1506</v>
      </c>
      <c r="Z16" s="29">
        <v>60</v>
      </c>
    </row>
    <row r="17" spans="1:26" ht="15" thickBot="1" x14ac:dyDescent="0.4">
      <c r="A17" s="11" t="s">
        <v>24</v>
      </c>
      <c r="B17" s="24">
        <v>1200</v>
      </c>
      <c r="C17" s="24">
        <v>3600</v>
      </c>
      <c r="D17" s="24">
        <v>800</v>
      </c>
      <c r="E17" s="25">
        <v>5600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22</v>
      </c>
      <c r="N17" s="29">
        <v>0</v>
      </c>
      <c r="O17" s="29">
        <v>23</v>
      </c>
      <c r="P17" s="29">
        <v>276</v>
      </c>
      <c r="Q17" s="29">
        <v>0</v>
      </c>
      <c r="R17" s="33" t="s">
        <v>22</v>
      </c>
      <c r="S17" s="32" t="s">
        <v>23</v>
      </c>
      <c r="T17" s="29">
        <v>48</v>
      </c>
      <c r="U17" s="29">
        <v>48</v>
      </c>
      <c r="V17" s="29">
        <v>864</v>
      </c>
      <c r="W17" s="29">
        <v>32</v>
      </c>
      <c r="X17" s="33" t="s">
        <v>22</v>
      </c>
      <c r="Y17" s="29">
        <v>1473</v>
      </c>
      <c r="Z17" s="29">
        <v>32</v>
      </c>
    </row>
    <row r="18" spans="1:26" ht="15" thickBot="1" x14ac:dyDescent="0.4">
      <c r="A18" s="11" t="s">
        <v>29</v>
      </c>
      <c r="B18" s="24">
        <v>88800</v>
      </c>
      <c r="C18" s="24">
        <v>386400</v>
      </c>
      <c r="D18" s="24">
        <v>65280</v>
      </c>
      <c r="E18" s="25">
        <v>540480</v>
      </c>
      <c r="F18" s="2">
        <v>16</v>
      </c>
      <c r="G18" s="32" t="s">
        <v>23</v>
      </c>
      <c r="H18" s="29">
        <v>148</v>
      </c>
      <c r="I18" s="29">
        <v>148</v>
      </c>
      <c r="J18" s="29">
        <v>1332</v>
      </c>
      <c r="K18" s="29">
        <v>111</v>
      </c>
      <c r="L18" s="33" t="s">
        <v>22</v>
      </c>
      <c r="M18" s="32" t="s">
        <v>23</v>
      </c>
      <c r="N18" s="29">
        <v>46</v>
      </c>
      <c r="O18" s="29">
        <v>46</v>
      </c>
      <c r="P18" s="29">
        <v>552</v>
      </c>
      <c r="Q18" s="29">
        <v>23</v>
      </c>
      <c r="R18" s="33" t="s">
        <v>23</v>
      </c>
      <c r="S18" s="32" t="s">
        <v>22</v>
      </c>
      <c r="T18" s="29">
        <v>0</v>
      </c>
      <c r="U18" s="29">
        <v>32</v>
      </c>
      <c r="V18" s="29">
        <v>576</v>
      </c>
      <c r="W18" s="29">
        <v>16</v>
      </c>
      <c r="X18" s="33" t="s">
        <v>23</v>
      </c>
      <c r="Y18" s="29">
        <v>2460</v>
      </c>
      <c r="Z18" s="29">
        <v>150</v>
      </c>
    </row>
    <row r="19" spans="1:26" ht="15" thickBot="1" x14ac:dyDescent="0.4">
      <c r="A19" s="20" t="s">
        <v>30</v>
      </c>
      <c r="B19" s="25">
        <v>693.75</v>
      </c>
      <c r="C19" s="25">
        <v>1009.75</v>
      </c>
      <c r="D19" s="25">
        <v>333.20000000000016</v>
      </c>
      <c r="E19" s="25">
        <v>2036.7000000000003</v>
      </c>
      <c r="F19" s="2">
        <v>17</v>
      </c>
      <c r="G19" s="32" t="s">
        <v>22</v>
      </c>
      <c r="H19" s="29">
        <v>0</v>
      </c>
      <c r="I19" s="29">
        <v>111</v>
      </c>
      <c r="J19" s="29">
        <v>999</v>
      </c>
      <c r="K19" s="29">
        <v>74</v>
      </c>
      <c r="L19" s="33" t="s">
        <v>23</v>
      </c>
      <c r="M19" s="32" t="s">
        <v>22</v>
      </c>
      <c r="N19" s="29">
        <v>0</v>
      </c>
      <c r="O19" s="29">
        <v>23</v>
      </c>
      <c r="P19" s="29">
        <v>276</v>
      </c>
      <c r="Q19" s="29">
        <v>0</v>
      </c>
      <c r="R19" s="33" t="s">
        <v>22</v>
      </c>
      <c r="S19" s="32" t="s">
        <v>22</v>
      </c>
      <c r="T19" s="29">
        <v>0</v>
      </c>
      <c r="U19" s="29">
        <v>16</v>
      </c>
      <c r="V19" s="29">
        <v>288</v>
      </c>
      <c r="W19" s="29">
        <v>0</v>
      </c>
      <c r="X19" s="33" t="s">
        <v>22</v>
      </c>
      <c r="Y19" s="29">
        <v>1563</v>
      </c>
      <c r="Z19" s="29">
        <v>74</v>
      </c>
    </row>
    <row r="20" spans="1:26" ht="15" thickBot="1" x14ac:dyDescent="0.4">
      <c r="A20" s="23" t="s">
        <v>32</v>
      </c>
      <c r="B20" s="67">
        <v>4136</v>
      </c>
      <c r="C20" s="68"/>
      <c r="D20" s="69"/>
      <c r="F20" s="2">
        <v>18</v>
      </c>
      <c r="G20" s="32" t="s">
        <v>22</v>
      </c>
      <c r="H20" s="29">
        <v>0</v>
      </c>
      <c r="I20" s="29">
        <v>74</v>
      </c>
      <c r="J20" s="29">
        <v>666</v>
      </c>
      <c r="K20" s="29">
        <v>37</v>
      </c>
      <c r="L20" s="33" t="s">
        <v>22</v>
      </c>
      <c r="M20" s="32" t="s">
        <v>23</v>
      </c>
      <c r="N20" s="29">
        <v>46</v>
      </c>
      <c r="O20" s="29">
        <v>46</v>
      </c>
      <c r="P20" s="29">
        <v>552</v>
      </c>
      <c r="Q20" s="29">
        <v>23</v>
      </c>
      <c r="R20" s="33" t="s">
        <v>23</v>
      </c>
      <c r="S20" s="32" t="s">
        <v>23</v>
      </c>
      <c r="T20" s="29">
        <v>48</v>
      </c>
      <c r="U20" s="29">
        <v>48</v>
      </c>
      <c r="V20" s="29">
        <v>864</v>
      </c>
      <c r="W20" s="29">
        <v>32</v>
      </c>
      <c r="X20" s="33" t="s">
        <v>22</v>
      </c>
      <c r="Y20" s="29">
        <v>2082</v>
      </c>
      <c r="Z20" s="29">
        <v>92</v>
      </c>
    </row>
    <row r="21" spans="1:26" ht="15" thickBot="1" x14ac:dyDescent="0.4">
      <c r="A21" s="21" t="s">
        <v>25</v>
      </c>
      <c r="B21" s="63">
        <v>548116.69999999995</v>
      </c>
      <c r="C21" s="64"/>
      <c r="D21" s="65"/>
      <c r="F21" s="2">
        <v>19</v>
      </c>
      <c r="G21" s="32" t="s">
        <v>22</v>
      </c>
      <c r="H21" s="29">
        <v>0</v>
      </c>
      <c r="I21" s="29">
        <v>37</v>
      </c>
      <c r="J21" s="29">
        <v>333</v>
      </c>
      <c r="K21" s="29">
        <v>0</v>
      </c>
      <c r="L21" s="33" t="s">
        <v>22</v>
      </c>
      <c r="M21" s="32" t="s">
        <v>22</v>
      </c>
      <c r="N21" s="29">
        <v>0</v>
      </c>
      <c r="O21" s="29">
        <v>23</v>
      </c>
      <c r="P21" s="29">
        <v>276</v>
      </c>
      <c r="Q21" s="29">
        <v>0</v>
      </c>
      <c r="R21" s="33" t="s">
        <v>22</v>
      </c>
      <c r="S21" s="32" t="s">
        <v>22</v>
      </c>
      <c r="T21" s="29">
        <v>0</v>
      </c>
      <c r="U21" s="29">
        <v>32</v>
      </c>
      <c r="V21" s="29">
        <v>576</v>
      </c>
      <c r="W21" s="29">
        <v>16</v>
      </c>
      <c r="X21" s="33" t="s">
        <v>23</v>
      </c>
      <c r="Y21" s="29">
        <v>1185</v>
      </c>
      <c r="Z21" s="29">
        <v>16</v>
      </c>
    </row>
    <row r="22" spans="1:26" ht="15" thickBot="1" x14ac:dyDescent="0.4">
      <c r="A22" s="22" t="s">
        <v>20</v>
      </c>
      <c r="B22" s="54">
        <v>4</v>
      </c>
      <c r="C22" s="55"/>
      <c r="D22" s="56"/>
      <c r="F22" s="2">
        <v>20</v>
      </c>
      <c r="G22" s="32" t="s">
        <v>23</v>
      </c>
      <c r="H22" s="29">
        <v>148</v>
      </c>
      <c r="I22" s="29">
        <v>148</v>
      </c>
      <c r="J22" s="29">
        <v>1332</v>
      </c>
      <c r="K22" s="29">
        <v>111</v>
      </c>
      <c r="L22" s="33" t="s">
        <v>22</v>
      </c>
      <c r="M22" s="32" t="s">
        <v>23</v>
      </c>
      <c r="N22" s="29">
        <v>46</v>
      </c>
      <c r="O22" s="29">
        <v>46</v>
      </c>
      <c r="P22" s="29">
        <v>552</v>
      </c>
      <c r="Q22" s="29">
        <v>23</v>
      </c>
      <c r="R22" s="33" t="s">
        <v>23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2172</v>
      </c>
      <c r="Z22" s="29">
        <v>134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111</v>
      </c>
      <c r="J23" s="29">
        <v>999</v>
      </c>
      <c r="K23" s="29">
        <v>74</v>
      </c>
      <c r="L23" s="33" t="s">
        <v>23</v>
      </c>
      <c r="M23" s="32" t="s">
        <v>22</v>
      </c>
      <c r="N23" s="29">
        <v>0</v>
      </c>
      <c r="O23" s="29">
        <v>23</v>
      </c>
      <c r="P23" s="29">
        <v>276</v>
      </c>
      <c r="Q23" s="29">
        <v>0</v>
      </c>
      <c r="R23" s="33" t="s">
        <v>22</v>
      </c>
      <c r="S23" s="32" t="s">
        <v>23</v>
      </c>
      <c r="T23" s="29">
        <v>48</v>
      </c>
      <c r="U23" s="29">
        <v>48</v>
      </c>
      <c r="V23" s="29">
        <v>864</v>
      </c>
      <c r="W23" s="29">
        <v>32</v>
      </c>
      <c r="X23" s="33" t="s">
        <v>22</v>
      </c>
      <c r="Y23" s="29">
        <v>2139</v>
      </c>
      <c r="Z23" s="29">
        <v>106</v>
      </c>
    </row>
    <row r="24" spans="1:26" x14ac:dyDescent="0.35">
      <c r="A24" s="38" t="s">
        <v>9</v>
      </c>
      <c r="B24" s="30" t="s">
        <v>43</v>
      </c>
      <c r="C24" s="30" t="s">
        <v>47</v>
      </c>
      <c r="D24" s="30" t="s">
        <v>42</v>
      </c>
      <c r="F24" s="2">
        <v>22</v>
      </c>
      <c r="G24" s="32" t="s">
        <v>22</v>
      </c>
      <c r="H24" s="29">
        <v>0</v>
      </c>
      <c r="I24" s="29">
        <v>74</v>
      </c>
      <c r="J24" s="29">
        <v>666</v>
      </c>
      <c r="K24" s="29">
        <v>37</v>
      </c>
      <c r="L24" s="33" t="s">
        <v>22</v>
      </c>
      <c r="M24" s="32" t="s">
        <v>23</v>
      </c>
      <c r="N24" s="29">
        <v>46</v>
      </c>
      <c r="O24" s="29">
        <v>46</v>
      </c>
      <c r="P24" s="29">
        <v>552</v>
      </c>
      <c r="Q24" s="29">
        <v>23</v>
      </c>
      <c r="R24" s="33" t="s">
        <v>23</v>
      </c>
      <c r="S24" s="32" t="s">
        <v>22</v>
      </c>
      <c r="T24" s="29">
        <v>0</v>
      </c>
      <c r="U24" s="29">
        <v>32</v>
      </c>
      <c r="V24" s="29">
        <v>576</v>
      </c>
      <c r="W24" s="29">
        <v>16</v>
      </c>
      <c r="X24" s="33" t="s">
        <v>23</v>
      </c>
      <c r="Y24" s="29">
        <v>1794</v>
      </c>
      <c r="Z24" s="29">
        <v>76</v>
      </c>
    </row>
    <row r="25" spans="1:26" x14ac:dyDescent="0.35">
      <c r="A25" s="38" t="s">
        <v>44</v>
      </c>
      <c r="B25" s="29" t="s">
        <v>48</v>
      </c>
      <c r="C25" s="29" t="s">
        <v>48</v>
      </c>
      <c r="D25" s="29" t="s">
        <v>48</v>
      </c>
      <c r="F25" s="2">
        <v>23</v>
      </c>
      <c r="G25" s="32" t="s">
        <v>22</v>
      </c>
      <c r="H25" s="29">
        <v>0</v>
      </c>
      <c r="I25" s="29">
        <v>37</v>
      </c>
      <c r="J25" s="29">
        <v>333</v>
      </c>
      <c r="K25" s="29">
        <v>0</v>
      </c>
      <c r="L25" s="33" t="s">
        <v>22</v>
      </c>
      <c r="M25" s="32" t="s">
        <v>22</v>
      </c>
      <c r="N25" s="29">
        <v>0</v>
      </c>
      <c r="O25" s="29">
        <v>23</v>
      </c>
      <c r="P25" s="29">
        <v>276</v>
      </c>
      <c r="Q25" s="29">
        <v>0</v>
      </c>
      <c r="R25" s="33" t="s">
        <v>22</v>
      </c>
      <c r="S25" s="32" t="s">
        <v>22</v>
      </c>
      <c r="T25" s="29">
        <v>0</v>
      </c>
      <c r="U25" s="29">
        <v>16</v>
      </c>
      <c r="V25" s="29">
        <v>288</v>
      </c>
      <c r="W25" s="29">
        <v>0</v>
      </c>
      <c r="X25" s="33" t="s">
        <v>22</v>
      </c>
      <c r="Y25" s="29">
        <v>897</v>
      </c>
      <c r="Z25" s="29">
        <v>0</v>
      </c>
    </row>
    <row r="26" spans="1:26" x14ac:dyDescent="0.35">
      <c r="A26" s="38"/>
      <c r="F26" s="17">
        <v>24</v>
      </c>
      <c r="G26" s="43" t="s">
        <v>23</v>
      </c>
      <c r="H26" s="41">
        <v>148</v>
      </c>
      <c r="I26" s="41">
        <v>148</v>
      </c>
      <c r="J26" s="41">
        <v>1332</v>
      </c>
      <c r="K26" s="41">
        <v>111</v>
      </c>
      <c r="L26" s="44" t="s">
        <v>22</v>
      </c>
      <c r="M26" s="43" t="s">
        <v>23</v>
      </c>
      <c r="N26" s="41">
        <v>46</v>
      </c>
      <c r="O26" s="41">
        <v>46</v>
      </c>
      <c r="P26" s="41">
        <v>552</v>
      </c>
      <c r="Q26" s="41">
        <v>23</v>
      </c>
      <c r="R26" s="44" t="s">
        <v>23</v>
      </c>
      <c r="S26" s="43" t="s">
        <v>23</v>
      </c>
      <c r="T26" s="41">
        <v>48</v>
      </c>
      <c r="U26" s="41">
        <v>48</v>
      </c>
      <c r="V26" s="41">
        <v>864</v>
      </c>
      <c r="W26" s="41">
        <v>32</v>
      </c>
      <c r="X26" s="44" t="s">
        <v>22</v>
      </c>
      <c r="Y26" s="41">
        <v>2748</v>
      </c>
      <c r="Z26" s="29">
        <v>166</v>
      </c>
    </row>
    <row r="27" spans="1:26" x14ac:dyDescent="0.35">
      <c r="A27" s="38"/>
      <c r="F27" s="2">
        <v>25</v>
      </c>
      <c r="G27" s="32" t="s">
        <v>22</v>
      </c>
      <c r="H27" s="29">
        <v>0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22</v>
      </c>
      <c r="N27" s="29">
        <v>0</v>
      </c>
      <c r="O27" s="29">
        <v>23</v>
      </c>
      <c r="P27" s="29">
        <v>276</v>
      </c>
      <c r="Q27" s="29">
        <v>0</v>
      </c>
      <c r="R27" s="33" t="s">
        <v>22</v>
      </c>
      <c r="S27" s="32" t="s">
        <v>22</v>
      </c>
      <c r="T27" s="29">
        <v>0</v>
      </c>
      <c r="U27" s="29">
        <v>32</v>
      </c>
      <c r="V27" s="29">
        <v>576</v>
      </c>
      <c r="W27" s="29">
        <v>16</v>
      </c>
      <c r="X27" s="33" t="s">
        <v>23</v>
      </c>
      <c r="Y27" s="29">
        <v>1851</v>
      </c>
      <c r="Z27" s="29">
        <v>90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23</v>
      </c>
      <c r="N28" s="29">
        <v>46</v>
      </c>
      <c r="O28" s="29">
        <v>46</v>
      </c>
      <c r="P28" s="29">
        <v>552</v>
      </c>
      <c r="Q28" s="29">
        <v>23</v>
      </c>
      <c r="R28" s="33" t="s">
        <v>23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1506</v>
      </c>
      <c r="Z28" s="29">
        <v>60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22</v>
      </c>
      <c r="N29" s="29">
        <v>0</v>
      </c>
      <c r="O29" s="29">
        <v>23</v>
      </c>
      <c r="P29" s="29">
        <v>276</v>
      </c>
      <c r="Q29" s="29">
        <v>0</v>
      </c>
      <c r="R29" s="33" t="s">
        <v>22</v>
      </c>
      <c r="S29" s="32" t="s">
        <v>23</v>
      </c>
      <c r="T29" s="29">
        <v>48</v>
      </c>
      <c r="U29" s="29">
        <v>48</v>
      </c>
      <c r="V29" s="29">
        <v>864</v>
      </c>
      <c r="W29" s="29">
        <v>32</v>
      </c>
      <c r="X29" s="33" t="s">
        <v>22</v>
      </c>
      <c r="Y29" s="29">
        <v>1473</v>
      </c>
      <c r="Z29" s="29">
        <v>32</v>
      </c>
    </row>
    <row r="30" spans="1:26" x14ac:dyDescent="0.35">
      <c r="A30" s="38" t="s">
        <v>35</v>
      </c>
      <c r="B30" s="30">
        <f t="shared" ref="B30:D31" si="0">B3</f>
        <v>148</v>
      </c>
      <c r="C30" s="30">
        <f t="shared" si="0"/>
        <v>46</v>
      </c>
      <c r="D30" s="30">
        <f t="shared" si="0"/>
        <v>48</v>
      </c>
      <c r="F30" s="2">
        <v>28</v>
      </c>
      <c r="G30" s="32" t="s">
        <v>23</v>
      </c>
      <c r="H30" s="29">
        <v>148</v>
      </c>
      <c r="I30" s="29">
        <v>148</v>
      </c>
      <c r="J30" s="29">
        <v>1332</v>
      </c>
      <c r="K30" s="29">
        <v>111</v>
      </c>
      <c r="L30" s="33" t="s">
        <v>22</v>
      </c>
      <c r="M30" s="32" t="s">
        <v>23</v>
      </c>
      <c r="N30" s="29">
        <v>46</v>
      </c>
      <c r="O30" s="29">
        <v>46</v>
      </c>
      <c r="P30" s="29">
        <v>552</v>
      </c>
      <c r="Q30" s="29">
        <v>23</v>
      </c>
      <c r="R30" s="33" t="s">
        <v>23</v>
      </c>
      <c r="S30" s="32" t="s">
        <v>22</v>
      </c>
      <c r="T30" s="29">
        <v>0</v>
      </c>
      <c r="U30" s="29">
        <v>32</v>
      </c>
      <c r="V30" s="29">
        <v>576</v>
      </c>
      <c r="W30" s="29">
        <v>16</v>
      </c>
      <c r="X30" s="33" t="s">
        <v>23</v>
      </c>
      <c r="Y30" s="29">
        <v>2460</v>
      </c>
      <c r="Z30" s="29">
        <v>150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23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111</v>
      </c>
      <c r="J31" s="29">
        <v>999</v>
      </c>
      <c r="K31" s="29">
        <v>74</v>
      </c>
      <c r="L31" s="33" t="s">
        <v>23</v>
      </c>
      <c r="M31" s="32" t="s">
        <v>22</v>
      </c>
      <c r="N31" s="29">
        <v>0</v>
      </c>
      <c r="O31" s="29">
        <v>23</v>
      </c>
      <c r="P31" s="29">
        <v>276</v>
      </c>
      <c r="Q31" s="29">
        <v>0</v>
      </c>
      <c r="R31" s="33" t="s">
        <v>22</v>
      </c>
      <c r="S31" s="32" t="s">
        <v>22</v>
      </c>
      <c r="T31" s="29">
        <v>0</v>
      </c>
      <c r="U31" s="29">
        <v>16</v>
      </c>
      <c r="V31" s="29">
        <v>288</v>
      </c>
      <c r="W31" s="29">
        <v>0</v>
      </c>
      <c r="X31" s="33" t="s">
        <v>22</v>
      </c>
      <c r="Y31" s="29">
        <v>1563</v>
      </c>
      <c r="Z31" s="29">
        <v>74</v>
      </c>
    </row>
    <row r="32" spans="1:26" x14ac:dyDescent="0.35">
      <c r="A32" s="38" t="s">
        <v>45</v>
      </c>
      <c r="B32" s="47">
        <f>B22-13</f>
        <v>-9</v>
      </c>
      <c r="E32" s="30"/>
      <c r="F32" s="2">
        <v>30</v>
      </c>
      <c r="G32" s="32" t="s">
        <v>22</v>
      </c>
      <c r="H32" s="29">
        <v>0</v>
      </c>
      <c r="I32" s="29">
        <v>74</v>
      </c>
      <c r="J32" s="29">
        <v>666</v>
      </c>
      <c r="K32" s="29">
        <v>37</v>
      </c>
      <c r="L32" s="33" t="s">
        <v>22</v>
      </c>
      <c r="M32" s="32" t="s">
        <v>23</v>
      </c>
      <c r="N32" s="29">
        <v>46</v>
      </c>
      <c r="O32" s="29">
        <v>46</v>
      </c>
      <c r="P32" s="29">
        <v>552</v>
      </c>
      <c r="Q32" s="29">
        <v>23</v>
      </c>
      <c r="R32" s="33" t="s">
        <v>23</v>
      </c>
      <c r="S32" s="32" t="s">
        <v>23</v>
      </c>
      <c r="T32" s="29">
        <v>48</v>
      </c>
      <c r="U32" s="29">
        <v>48</v>
      </c>
      <c r="V32" s="29">
        <v>864</v>
      </c>
      <c r="W32" s="29">
        <v>32</v>
      </c>
      <c r="X32" s="33" t="s">
        <v>22</v>
      </c>
      <c r="Y32" s="29">
        <v>2082</v>
      </c>
      <c r="Z32" s="29">
        <v>92</v>
      </c>
    </row>
    <row r="33" spans="1:26" x14ac:dyDescent="0.35">
      <c r="A33" s="38" t="s">
        <v>46</v>
      </c>
      <c r="B33" s="45">
        <f>B21-507911.75</f>
        <v>40204.949999999953</v>
      </c>
      <c r="F33" s="2">
        <v>31</v>
      </c>
      <c r="G33" s="32" t="s">
        <v>22</v>
      </c>
      <c r="H33" s="29">
        <v>0</v>
      </c>
      <c r="I33" s="29">
        <v>37</v>
      </c>
      <c r="J33" s="29">
        <v>333</v>
      </c>
      <c r="K33" s="29">
        <v>0</v>
      </c>
      <c r="L33" s="33" t="s">
        <v>22</v>
      </c>
      <c r="M33" s="32" t="s">
        <v>22</v>
      </c>
      <c r="N33" s="29">
        <v>0</v>
      </c>
      <c r="O33" s="29">
        <v>23</v>
      </c>
      <c r="P33" s="29">
        <v>276</v>
      </c>
      <c r="Q33" s="29">
        <v>0</v>
      </c>
      <c r="R33" s="33" t="s">
        <v>22</v>
      </c>
      <c r="S33" s="32" t="s">
        <v>22</v>
      </c>
      <c r="T33" s="29">
        <v>0</v>
      </c>
      <c r="U33" s="29">
        <v>32</v>
      </c>
      <c r="V33" s="29">
        <v>576</v>
      </c>
      <c r="W33" s="29">
        <v>16</v>
      </c>
      <c r="X33" s="33" t="s">
        <v>23</v>
      </c>
      <c r="Y33" s="29">
        <v>1185</v>
      </c>
      <c r="Z33" s="29">
        <v>16</v>
      </c>
    </row>
    <row r="34" spans="1:26" x14ac:dyDescent="0.35">
      <c r="F34" s="2">
        <v>32</v>
      </c>
      <c r="G34" s="32" t="s">
        <v>23</v>
      </c>
      <c r="H34" s="29">
        <v>148</v>
      </c>
      <c r="I34" s="29">
        <v>148</v>
      </c>
      <c r="J34" s="29">
        <v>1332</v>
      </c>
      <c r="K34" s="29">
        <v>111</v>
      </c>
      <c r="L34" s="33" t="s">
        <v>22</v>
      </c>
      <c r="M34" s="32" t="s">
        <v>23</v>
      </c>
      <c r="N34" s="29">
        <v>46</v>
      </c>
      <c r="O34" s="29">
        <v>46</v>
      </c>
      <c r="P34" s="29">
        <v>552</v>
      </c>
      <c r="Q34" s="29">
        <v>23</v>
      </c>
      <c r="R34" s="33" t="s">
        <v>23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2172</v>
      </c>
      <c r="Z34" s="29">
        <v>134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111</v>
      </c>
      <c r="J35" s="29">
        <v>999</v>
      </c>
      <c r="K35" s="29">
        <v>74</v>
      </c>
      <c r="L35" s="33" t="s">
        <v>23</v>
      </c>
      <c r="M35" s="32" t="s">
        <v>22</v>
      </c>
      <c r="N35" s="29">
        <v>0</v>
      </c>
      <c r="O35" s="29">
        <v>23</v>
      </c>
      <c r="P35" s="29">
        <v>276</v>
      </c>
      <c r="Q35" s="29">
        <v>0</v>
      </c>
      <c r="R35" s="33" t="s">
        <v>22</v>
      </c>
      <c r="S35" s="32" t="s">
        <v>23</v>
      </c>
      <c r="T35" s="29">
        <v>48</v>
      </c>
      <c r="U35" s="29">
        <v>48</v>
      </c>
      <c r="V35" s="29">
        <v>864</v>
      </c>
      <c r="W35" s="29">
        <v>32</v>
      </c>
      <c r="X35" s="33" t="s">
        <v>22</v>
      </c>
      <c r="Y35" s="29">
        <v>2139</v>
      </c>
      <c r="Z35" s="29">
        <v>106</v>
      </c>
    </row>
    <row r="36" spans="1:26" x14ac:dyDescent="0.35">
      <c r="A36" s="38" t="s">
        <v>41</v>
      </c>
      <c r="B36" s="34"/>
      <c r="F36" s="2">
        <v>34</v>
      </c>
      <c r="G36" s="32" t="s">
        <v>22</v>
      </c>
      <c r="H36" s="29">
        <v>0</v>
      </c>
      <c r="I36" s="29">
        <v>74</v>
      </c>
      <c r="J36" s="29">
        <v>666</v>
      </c>
      <c r="K36" s="29">
        <v>37</v>
      </c>
      <c r="L36" s="33" t="s">
        <v>22</v>
      </c>
      <c r="M36" s="32" t="s">
        <v>23</v>
      </c>
      <c r="N36" s="29">
        <v>46</v>
      </c>
      <c r="O36" s="29">
        <v>46</v>
      </c>
      <c r="P36" s="29">
        <v>552</v>
      </c>
      <c r="Q36" s="29">
        <v>23</v>
      </c>
      <c r="R36" s="33" t="s">
        <v>23</v>
      </c>
      <c r="S36" s="32" t="s">
        <v>22</v>
      </c>
      <c r="T36" s="29">
        <v>0</v>
      </c>
      <c r="U36" s="29">
        <v>32</v>
      </c>
      <c r="V36" s="29">
        <v>576</v>
      </c>
      <c r="W36" s="29">
        <v>16</v>
      </c>
      <c r="X36" s="33" t="s">
        <v>23</v>
      </c>
      <c r="Y36" s="29">
        <v>1794</v>
      </c>
      <c r="Z36" s="29">
        <v>76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37</v>
      </c>
      <c r="J37" s="29">
        <v>333</v>
      </c>
      <c r="K37" s="29">
        <v>0</v>
      </c>
      <c r="L37" s="33" t="s">
        <v>22</v>
      </c>
      <c r="M37" s="32" t="s">
        <v>22</v>
      </c>
      <c r="N37" s="29">
        <v>0</v>
      </c>
      <c r="O37" s="29">
        <v>23</v>
      </c>
      <c r="P37" s="29">
        <v>276</v>
      </c>
      <c r="Q37" s="29">
        <v>0</v>
      </c>
      <c r="R37" s="33" t="s">
        <v>22</v>
      </c>
      <c r="S37" s="32" t="s">
        <v>22</v>
      </c>
      <c r="T37" s="29">
        <v>0</v>
      </c>
      <c r="U37" s="29">
        <v>16</v>
      </c>
      <c r="V37" s="29">
        <v>288</v>
      </c>
      <c r="W37" s="29">
        <v>0</v>
      </c>
      <c r="X37" s="33" t="s">
        <v>22</v>
      </c>
      <c r="Y37" s="29">
        <v>897</v>
      </c>
      <c r="Z37" s="29">
        <v>0</v>
      </c>
    </row>
    <row r="38" spans="1:26" x14ac:dyDescent="0.35">
      <c r="F38" s="17">
        <v>36</v>
      </c>
      <c r="G38" s="43" t="s">
        <v>23</v>
      </c>
      <c r="H38" s="41">
        <v>148</v>
      </c>
      <c r="I38" s="41">
        <v>148</v>
      </c>
      <c r="J38" s="41">
        <v>1332</v>
      </c>
      <c r="K38" s="41">
        <v>111</v>
      </c>
      <c r="L38" s="44" t="s">
        <v>22</v>
      </c>
      <c r="M38" s="43" t="s">
        <v>23</v>
      </c>
      <c r="N38" s="41">
        <v>46</v>
      </c>
      <c r="O38" s="41">
        <v>46</v>
      </c>
      <c r="P38" s="41">
        <v>552</v>
      </c>
      <c r="Q38" s="41">
        <v>23</v>
      </c>
      <c r="R38" s="44" t="s">
        <v>23</v>
      </c>
      <c r="S38" s="43" t="s">
        <v>23</v>
      </c>
      <c r="T38" s="41">
        <v>48</v>
      </c>
      <c r="U38" s="41">
        <v>48</v>
      </c>
      <c r="V38" s="41">
        <v>864</v>
      </c>
      <c r="W38" s="41">
        <v>32</v>
      </c>
      <c r="X38" s="44" t="s">
        <v>22</v>
      </c>
      <c r="Y38" s="41">
        <v>2748</v>
      </c>
      <c r="Z38" s="29">
        <v>166</v>
      </c>
    </row>
    <row r="39" spans="1:26" x14ac:dyDescent="0.35">
      <c r="F39" s="2">
        <v>37</v>
      </c>
      <c r="G39" s="32" t="s">
        <v>22</v>
      </c>
      <c r="H39" s="29">
        <v>0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22</v>
      </c>
      <c r="N39" s="29">
        <v>0</v>
      </c>
      <c r="O39" s="29">
        <v>23</v>
      </c>
      <c r="P39" s="29">
        <v>276</v>
      </c>
      <c r="Q39" s="29">
        <v>0</v>
      </c>
      <c r="R39" s="33" t="s">
        <v>22</v>
      </c>
      <c r="S39" s="32" t="s">
        <v>22</v>
      </c>
      <c r="T39" s="29">
        <v>0</v>
      </c>
      <c r="U39" s="29">
        <v>32</v>
      </c>
      <c r="V39" s="29">
        <v>576</v>
      </c>
      <c r="W39" s="29">
        <v>16</v>
      </c>
      <c r="X39" s="33" t="s">
        <v>23</v>
      </c>
      <c r="Y39" s="29">
        <v>1851</v>
      </c>
      <c r="Z39" s="29">
        <v>90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23</v>
      </c>
      <c r="N40" s="29">
        <v>46</v>
      </c>
      <c r="O40" s="29">
        <v>46</v>
      </c>
      <c r="P40" s="29">
        <v>552</v>
      </c>
      <c r="Q40" s="29">
        <v>23</v>
      </c>
      <c r="R40" s="33" t="s">
        <v>23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1506</v>
      </c>
      <c r="Z40" s="29">
        <v>60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22</v>
      </c>
      <c r="N41" s="29">
        <v>0</v>
      </c>
      <c r="O41" s="29">
        <v>23</v>
      </c>
      <c r="P41" s="29">
        <v>276</v>
      </c>
      <c r="Q41" s="29">
        <v>0</v>
      </c>
      <c r="R41" s="33" t="s">
        <v>22</v>
      </c>
      <c r="S41" s="32" t="s">
        <v>23</v>
      </c>
      <c r="T41" s="29">
        <v>48</v>
      </c>
      <c r="U41" s="29">
        <v>48</v>
      </c>
      <c r="V41" s="29">
        <v>864</v>
      </c>
      <c r="W41" s="29">
        <v>32</v>
      </c>
      <c r="X41" s="33" t="s">
        <v>22</v>
      </c>
      <c r="Y41" s="29">
        <v>1473</v>
      </c>
      <c r="Z41" s="29">
        <v>32</v>
      </c>
    </row>
    <row r="42" spans="1:26" x14ac:dyDescent="0.35">
      <c r="F42" s="2">
        <v>40</v>
      </c>
      <c r="G42" s="32" t="s">
        <v>23</v>
      </c>
      <c r="H42" s="29">
        <v>148</v>
      </c>
      <c r="I42" s="29">
        <v>148</v>
      </c>
      <c r="J42" s="29">
        <v>1332</v>
      </c>
      <c r="K42" s="29">
        <v>111</v>
      </c>
      <c r="L42" s="33" t="s">
        <v>22</v>
      </c>
      <c r="M42" s="32" t="s">
        <v>23</v>
      </c>
      <c r="N42" s="29">
        <v>46</v>
      </c>
      <c r="O42" s="29">
        <v>46</v>
      </c>
      <c r="P42" s="29">
        <v>552</v>
      </c>
      <c r="Q42" s="29">
        <v>23</v>
      </c>
      <c r="R42" s="33" t="s">
        <v>23</v>
      </c>
      <c r="S42" s="32" t="s">
        <v>22</v>
      </c>
      <c r="T42" s="29">
        <v>0</v>
      </c>
      <c r="U42" s="29">
        <v>32</v>
      </c>
      <c r="V42" s="29">
        <v>576</v>
      </c>
      <c r="W42" s="29">
        <v>16</v>
      </c>
      <c r="X42" s="33" t="s">
        <v>23</v>
      </c>
      <c r="Y42" s="29">
        <v>2460</v>
      </c>
      <c r="Z42" s="29">
        <v>150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111</v>
      </c>
      <c r="J43" s="29">
        <v>999</v>
      </c>
      <c r="K43" s="29">
        <v>74</v>
      </c>
      <c r="L43" s="33" t="s">
        <v>23</v>
      </c>
      <c r="M43" s="32" t="s">
        <v>22</v>
      </c>
      <c r="N43" s="29">
        <v>0</v>
      </c>
      <c r="O43" s="29">
        <v>23</v>
      </c>
      <c r="P43" s="29">
        <v>276</v>
      </c>
      <c r="Q43" s="29">
        <v>0</v>
      </c>
      <c r="R43" s="33" t="s">
        <v>22</v>
      </c>
      <c r="S43" s="32" t="s">
        <v>22</v>
      </c>
      <c r="T43" s="29">
        <v>0</v>
      </c>
      <c r="U43" s="29">
        <v>16</v>
      </c>
      <c r="V43" s="29">
        <v>288</v>
      </c>
      <c r="W43" s="29">
        <v>0</v>
      </c>
      <c r="X43" s="33" t="s">
        <v>22</v>
      </c>
      <c r="Y43" s="29">
        <v>1563</v>
      </c>
      <c r="Z43" s="29">
        <v>74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74</v>
      </c>
      <c r="J44" s="29">
        <v>666</v>
      </c>
      <c r="K44" s="29">
        <v>37</v>
      </c>
      <c r="L44" s="33" t="s">
        <v>22</v>
      </c>
      <c r="M44" s="32" t="s">
        <v>23</v>
      </c>
      <c r="N44" s="29">
        <v>46</v>
      </c>
      <c r="O44" s="29">
        <v>46</v>
      </c>
      <c r="P44" s="29">
        <v>552</v>
      </c>
      <c r="Q44" s="29">
        <v>23</v>
      </c>
      <c r="R44" s="33" t="s">
        <v>23</v>
      </c>
      <c r="S44" s="32" t="s">
        <v>23</v>
      </c>
      <c r="T44" s="29">
        <v>48</v>
      </c>
      <c r="U44" s="29">
        <v>48</v>
      </c>
      <c r="V44" s="29">
        <v>864</v>
      </c>
      <c r="W44" s="29">
        <v>32</v>
      </c>
      <c r="X44" s="33" t="s">
        <v>22</v>
      </c>
      <c r="Y44" s="29">
        <v>2082</v>
      </c>
      <c r="Z44" s="29">
        <v>92</v>
      </c>
    </row>
    <row r="45" spans="1:26" x14ac:dyDescent="0.35">
      <c r="F45" s="2">
        <v>43</v>
      </c>
      <c r="G45" s="32" t="s">
        <v>22</v>
      </c>
      <c r="H45" s="29">
        <v>0</v>
      </c>
      <c r="I45" s="29">
        <v>37</v>
      </c>
      <c r="J45" s="29">
        <v>333</v>
      </c>
      <c r="K45" s="29">
        <v>0</v>
      </c>
      <c r="L45" s="33" t="s">
        <v>22</v>
      </c>
      <c r="M45" s="32" t="s">
        <v>22</v>
      </c>
      <c r="N45" s="29">
        <v>0</v>
      </c>
      <c r="O45" s="29">
        <v>23</v>
      </c>
      <c r="P45" s="29">
        <v>276</v>
      </c>
      <c r="Q45" s="29">
        <v>0</v>
      </c>
      <c r="R45" s="33" t="s">
        <v>22</v>
      </c>
      <c r="S45" s="32" t="s">
        <v>22</v>
      </c>
      <c r="T45" s="29">
        <v>0</v>
      </c>
      <c r="U45" s="29">
        <v>32</v>
      </c>
      <c r="V45" s="29">
        <v>576</v>
      </c>
      <c r="W45" s="29">
        <v>16</v>
      </c>
      <c r="X45" s="33" t="s">
        <v>23</v>
      </c>
      <c r="Y45" s="29">
        <v>1185</v>
      </c>
      <c r="Z45" s="29">
        <v>16</v>
      </c>
    </row>
    <row r="46" spans="1:26" x14ac:dyDescent="0.35">
      <c r="F46" s="2">
        <v>44</v>
      </c>
      <c r="G46" s="32" t="s">
        <v>23</v>
      </c>
      <c r="H46" s="29">
        <v>148</v>
      </c>
      <c r="I46" s="29">
        <v>148</v>
      </c>
      <c r="J46" s="29">
        <v>1332</v>
      </c>
      <c r="K46" s="29">
        <v>111</v>
      </c>
      <c r="L46" s="33" t="s">
        <v>22</v>
      </c>
      <c r="M46" s="32" t="s">
        <v>23</v>
      </c>
      <c r="N46" s="29">
        <v>46</v>
      </c>
      <c r="O46" s="29">
        <v>46</v>
      </c>
      <c r="P46" s="29">
        <v>552</v>
      </c>
      <c r="Q46" s="29">
        <v>23</v>
      </c>
      <c r="R46" s="33" t="s">
        <v>23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2172</v>
      </c>
      <c r="Z46" s="29">
        <v>134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111</v>
      </c>
      <c r="J47" s="29">
        <v>999</v>
      </c>
      <c r="K47" s="29">
        <v>74</v>
      </c>
      <c r="L47" s="33" t="s">
        <v>23</v>
      </c>
      <c r="M47" s="32" t="s">
        <v>22</v>
      </c>
      <c r="N47" s="29">
        <v>0</v>
      </c>
      <c r="O47" s="29">
        <v>23</v>
      </c>
      <c r="P47" s="29">
        <v>276</v>
      </c>
      <c r="Q47" s="29">
        <v>0</v>
      </c>
      <c r="R47" s="33" t="s">
        <v>22</v>
      </c>
      <c r="S47" s="32" t="s">
        <v>23</v>
      </c>
      <c r="T47" s="29">
        <v>48</v>
      </c>
      <c r="U47" s="29">
        <v>48</v>
      </c>
      <c r="V47" s="29">
        <v>864</v>
      </c>
      <c r="W47" s="29">
        <v>32</v>
      </c>
      <c r="X47" s="33" t="s">
        <v>22</v>
      </c>
      <c r="Y47" s="29">
        <v>2139</v>
      </c>
      <c r="Z47" s="29">
        <v>106</v>
      </c>
    </row>
    <row r="48" spans="1:26" x14ac:dyDescent="0.35">
      <c r="F48" s="2">
        <v>46</v>
      </c>
      <c r="G48" s="32" t="s">
        <v>22</v>
      </c>
      <c r="H48" s="29">
        <v>0</v>
      </c>
      <c r="I48" s="29">
        <v>74</v>
      </c>
      <c r="J48" s="29">
        <v>666</v>
      </c>
      <c r="K48" s="29">
        <v>37</v>
      </c>
      <c r="L48" s="33" t="s">
        <v>22</v>
      </c>
      <c r="M48" s="32" t="s">
        <v>23</v>
      </c>
      <c r="N48" s="29">
        <v>46</v>
      </c>
      <c r="O48" s="29">
        <v>46</v>
      </c>
      <c r="P48" s="29">
        <v>552</v>
      </c>
      <c r="Q48" s="29">
        <v>23</v>
      </c>
      <c r="R48" s="33" t="s">
        <v>23</v>
      </c>
      <c r="S48" s="32" t="s">
        <v>22</v>
      </c>
      <c r="T48" s="29">
        <v>0</v>
      </c>
      <c r="U48" s="29">
        <v>32</v>
      </c>
      <c r="V48" s="29">
        <v>576</v>
      </c>
      <c r="W48" s="29">
        <v>16</v>
      </c>
      <c r="X48" s="33" t="s">
        <v>23</v>
      </c>
      <c r="Y48" s="29">
        <v>1794</v>
      </c>
      <c r="Z48" s="29">
        <v>76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37</v>
      </c>
      <c r="J49" s="29">
        <v>333</v>
      </c>
      <c r="K49" s="29">
        <v>0</v>
      </c>
      <c r="L49" s="33" t="s">
        <v>22</v>
      </c>
      <c r="M49" s="32" t="s">
        <v>22</v>
      </c>
      <c r="N49" s="29">
        <v>0</v>
      </c>
      <c r="O49" s="29">
        <v>23</v>
      </c>
      <c r="P49" s="29">
        <v>276</v>
      </c>
      <c r="Q49" s="29">
        <v>0</v>
      </c>
      <c r="R49" s="33" t="s">
        <v>22</v>
      </c>
      <c r="S49" s="32" t="s">
        <v>22</v>
      </c>
      <c r="T49" s="29">
        <v>0</v>
      </c>
      <c r="U49" s="29">
        <v>16</v>
      </c>
      <c r="V49" s="29">
        <v>288</v>
      </c>
      <c r="W49" s="29">
        <v>0</v>
      </c>
      <c r="X49" s="33" t="s">
        <v>22</v>
      </c>
      <c r="Y49" s="29">
        <v>897</v>
      </c>
      <c r="Z49" s="29">
        <v>0</v>
      </c>
    </row>
    <row r="50" spans="6:26" x14ac:dyDescent="0.35">
      <c r="F50" s="17">
        <v>48</v>
      </c>
      <c r="G50" s="43" t="s">
        <v>23</v>
      </c>
      <c r="H50" s="41">
        <v>148</v>
      </c>
      <c r="I50" s="41">
        <v>148</v>
      </c>
      <c r="J50" s="41">
        <v>1332</v>
      </c>
      <c r="K50" s="41">
        <v>111</v>
      </c>
      <c r="L50" s="44" t="s">
        <v>22</v>
      </c>
      <c r="M50" s="43" t="s">
        <v>23</v>
      </c>
      <c r="N50" s="41">
        <v>46</v>
      </c>
      <c r="O50" s="41">
        <v>46</v>
      </c>
      <c r="P50" s="41">
        <v>552</v>
      </c>
      <c r="Q50" s="41">
        <v>23</v>
      </c>
      <c r="R50" s="44" t="s">
        <v>23</v>
      </c>
      <c r="S50" s="43" t="s">
        <v>23</v>
      </c>
      <c r="T50" s="41">
        <v>48</v>
      </c>
      <c r="U50" s="41">
        <v>48</v>
      </c>
      <c r="V50" s="41">
        <v>864</v>
      </c>
      <c r="W50" s="41">
        <v>32</v>
      </c>
      <c r="X50" s="44" t="s">
        <v>22</v>
      </c>
      <c r="Y50" s="41">
        <v>2748</v>
      </c>
      <c r="Z50" s="29">
        <v>166</v>
      </c>
    </row>
    <row r="51" spans="6:26" x14ac:dyDescent="0.35">
      <c r="F51" s="2">
        <v>49</v>
      </c>
      <c r="G51" s="32" t="s">
        <v>22</v>
      </c>
      <c r="H51" s="29">
        <v>0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22</v>
      </c>
      <c r="N51" s="29">
        <v>0</v>
      </c>
      <c r="O51" s="29">
        <v>23</v>
      </c>
      <c r="P51" s="29">
        <v>276</v>
      </c>
      <c r="Q51" s="29">
        <v>0</v>
      </c>
      <c r="R51" s="33" t="s">
        <v>22</v>
      </c>
      <c r="S51" s="32" t="s">
        <v>22</v>
      </c>
      <c r="T51" s="29">
        <v>0</v>
      </c>
      <c r="U51" s="29">
        <v>32</v>
      </c>
      <c r="V51" s="29">
        <v>576</v>
      </c>
      <c r="W51" s="29">
        <v>16</v>
      </c>
      <c r="X51" s="33" t="s">
        <v>23</v>
      </c>
      <c r="Y51" s="29">
        <v>1851</v>
      </c>
      <c r="Z51" s="29">
        <v>90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23</v>
      </c>
      <c r="N52" s="29">
        <v>46</v>
      </c>
      <c r="O52" s="29">
        <v>46</v>
      </c>
      <c r="P52" s="29">
        <v>552</v>
      </c>
      <c r="Q52" s="29">
        <v>23</v>
      </c>
      <c r="R52" s="33" t="s">
        <v>23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1506</v>
      </c>
      <c r="Z52" s="29">
        <v>60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B7AA5-76C7-4261-A226-FA941ECC5C4D}">
  <sheetPr codeName="Sheet2"/>
  <dimension ref="A1:Z53"/>
  <sheetViews>
    <sheetView topLeftCell="H1" zoomScale="90" zoomScaleNormal="90" workbookViewId="0">
      <selection activeCell="C26" sqref="C26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111</v>
      </c>
      <c r="C3" s="16">
        <v>69</v>
      </c>
      <c r="D3" s="16">
        <v>32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22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23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23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22</v>
      </c>
      <c r="N5" s="29">
        <v>0</v>
      </c>
      <c r="O5" s="34">
        <v>1</v>
      </c>
      <c r="P5" s="29">
        <v>12</v>
      </c>
      <c r="Q5" s="29">
        <v>0</v>
      </c>
      <c r="R5" s="33" t="s">
        <v>22</v>
      </c>
      <c r="S5" s="32" t="s">
        <v>23</v>
      </c>
      <c r="T5" s="29">
        <v>32</v>
      </c>
      <c r="U5" s="29">
        <v>32</v>
      </c>
      <c r="V5" s="29">
        <v>576</v>
      </c>
      <c r="W5" s="29">
        <v>16</v>
      </c>
      <c r="X5" s="33" t="s">
        <v>23</v>
      </c>
      <c r="Y5" s="29">
        <v>921</v>
      </c>
      <c r="Z5" s="29">
        <v>16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111</v>
      </c>
      <c r="I6" s="29">
        <v>111</v>
      </c>
      <c r="J6" s="29">
        <v>999</v>
      </c>
      <c r="K6" s="29">
        <v>74</v>
      </c>
      <c r="L6" s="33" t="s">
        <v>23</v>
      </c>
      <c r="M6" s="32" t="s">
        <v>23</v>
      </c>
      <c r="N6" s="29">
        <v>69</v>
      </c>
      <c r="O6" s="29">
        <v>69</v>
      </c>
      <c r="P6" s="29">
        <v>828</v>
      </c>
      <c r="Q6" s="29">
        <v>46</v>
      </c>
      <c r="R6" s="33" t="s">
        <v>22</v>
      </c>
      <c r="S6" s="32" t="s">
        <v>22</v>
      </c>
      <c r="T6" s="29">
        <v>0</v>
      </c>
      <c r="U6" s="29">
        <v>16</v>
      </c>
      <c r="V6" s="29">
        <v>288</v>
      </c>
      <c r="W6" s="29">
        <v>0</v>
      </c>
      <c r="X6" s="33" t="s">
        <v>22</v>
      </c>
      <c r="Y6" s="29">
        <v>2115</v>
      </c>
      <c r="Z6" s="29">
        <v>120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74</v>
      </c>
      <c r="J7" s="29">
        <v>666</v>
      </c>
      <c r="K7" s="29">
        <v>37</v>
      </c>
      <c r="L7" s="33" t="s">
        <v>22</v>
      </c>
      <c r="M7" s="32" t="s">
        <v>22</v>
      </c>
      <c r="N7" s="29">
        <v>0</v>
      </c>
      <c r="O7" s="29">
        <v>46</v>
      </c>
      <c r="P7" s="29">
        <v>552</v>
      </c>
      <c r="Q7" s="29">
        <v>23</v>
      </c>
      <c r="R7" s="33" t="s">
        <v>23</v>
      </c>
      <c r="S7" s="32" t="s">
        <v>23</v>
      </c>
      <c r="T7" s="29">
        <v>32</v>
      </c>
      <c r="U7" s="29">
        <v>32</v>
      </c>
      <c r="V7" s="29">
        <v>576</v>
      </c>
      <c r="W7" s="29">
        <v>16</v>
      </c>
      <c r="X7" s="33" t="s">
        <v>23</v>
      </c>
      <c r="Y7" s="29">
        <v>1794</v>
      </c>
      <c r="Z7" s="29">
        <v>76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37</v>
      </c>
      <c r="J8" s="29">
        <v>333</v>
      </c>
      <c r="K8" s="29">
        <v>0</v>
      </c>
      <c r="L8" s="33" t="s">
        <v>22</v>
      </c>
      <c r="M8" s="32" t="s">
        <v>22</v>
      </c>
      <c r="N8" s="29">
        <v>0</v>
      </c>
      <c r="O8" s="29">
        <v>23</v>
      </c>
      <c r="P8" s="29">
        <v>276</v>
      </c>
      <c r="Q8" s="29">
        <v>0</v>
      </c>
      <c r="R8" s="33" t="s">
        <v>22</v>
      </c>
      <c r="S8" s="32" t="s">
        <v>22</v>
      </c>
      <c r="T8" s="29">
        <v>0</v>
      </c>
      <c r="U8" s="29">
        <v>16</v>
      </c>
      <c r="V8" s="29">
        <v>288</v>
      </c>
      <c r="W8" s="29">
        <v>0</v>
      </c>
      <c r="X8" s="33" t="s">
        <v>22</v>
      </c>
      <c r="Y8" s="29">
        <v>897</v>
      </c>
      <c r="Z8" s="29">
        <v>0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23</v>
      </c>
      <c r="H9" s="29">
        <v>111</v>
      </c>
      <c r="I9" s="29">
        <v>111</v>
      </c>
      <c r="J9" s="29">
        <v>999</v>
      </c>
      <c r="K9" s="29">
        <v>74</v>
      </c>
      <c r="L9" s="33" t="s">
        <v>23</v>
      </c>
      <c r="M9" s="32" t="s">
        <v>23</v>
      </c>
      <c r="N9" s="29">
        <v>69</v>
      </c>
      <c r="O9" s="29">
        <v>69</v>
      </c>
      <c r="P9" s="29">
        <v>828</v>
      </c>
      <c r="Q9" s="29">
        <v>46</v>
      </c>
      <c r="R9" s="33" t="s">
        <v>22</v>
      </c>
      <c r="S9" s="32" t="s">
        <v>23</v>
      </c>
      <c r="T9" s="29">
        <v>32</v>
      </c>
      <c r="U9" s="29">
        <v>32</v>
      </c>
      <c r="V9" s="29">
        <v>576</v>
      </c>
      <c r="W9" s="29">
        <v>16</v>
      </c>
      <c r="X9" s="33" t="s">
        <v>23</v>
      </c>
      <c r="Y9" s="29">
        <v>2403</v>
      </c>
      <c r="Z9" s="29">
        <v>136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29">
        <v>74</v>
      </c>
      <c r="J10" s="29">
        <v>666</v>
      </c>
      <c r="K10" s="29">
        <v>37</v>
      </c>
      <c r="L10" s="33" t="s">
        <v>22</v>
      </c>
      <c r="M10" s="32" t="s">
        <v>22</v>
      </c>
      <c r="N10" s="29">
        <v>0</v>
      </c>
      <c r="O10" s="29">
        <v>46</v>
      </c>
      <c r="P10" s="29">
        <v>552</v>
      </c>
      <c r="Q10" s="29">
        <v>23</v>
      </c>
      <c r="R10" s="33" t="s">
        <v>23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1506</v>
      </c>
      <c r="Z10" s="29">
        <v>60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37</v>
      </c>
      <c r="J11" s="29">
        <v>333</v>
      </c>
      <c r="K11" s="29">
        <v>0</v>
      </c>
      <c r="L11" s="33" t="s">
        <v>22</v>
      </c>
      <c r="M11" s="32" t="s">
        <v>22</v>
      </c>
      <c r="N11" s="29">
        <v>0</v>
      </c>
      <c r="O11" s="29">
        <v>23</v>
      </c>
      <c r="P11" s="29">
        <v>276</v>
      </c>
      <c r="Q11" s="29">
        <v>0</v>
      </c>
      <c r="R11" s="33" t="s">
        <v>22</v>
      </c>
      <c r="S11" s="32" t="s">
        <v>23</v>
      </c>
      <c r="T11" s="29">
        <v>32</v>
      </c>
      <c r="U11" s="29">
        <v>32</v>
      </c>
      <c r="V11" s="29">
        <v>576</v>
      </c>
      <c r="W11" s="29">
        <v>16</v>
      </c>
      <c r="X11" s="33" t="s">
        <v>23</v>
      </c>
      <c r="Y11" s="29">
        <v>1185</v>
      </c>
      <c r="Z11" s="29">
        <v>16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23</v>
      </c>
      <c r="H12" s="29">
        <v>111</v>
      </c>
      <c r="I12" s="29">
        <v>111</v>
      </c>
      <c r="J12" s="29">
        <v>999</v>
      </c>
      <c r="K12" s="29">
        <v>74</v>
      </c>
      <c r="L12" s="33" t="s">
        <v>23</v>
      </c>
      <c r="M12" s="32" t="s">
        <v>23</v>
      </c>
      <c r="N12" s="29">
        <v>69</v>
      </c>
      <c r="O12" s="29">
        <v>69</v>
      </c>
      <c r="P12" s="29">
        <v>828</v>
      </c>
      <c r="Q12" s="29">
        <v>46</v>
      </c>
      <c r="R12" s="33" t="s">
        <v>22</v>
      </c>
      <c r="S12" s="32" t="s">
        <v>22</v>
      </c>
      <c r="T12" s="29">
        <v>0</v>
      </c>
      <c r="U12" s="29">
        <v>16</v>
      </c>
      <c r="V12" s="29">
        <v>288</v>
      </c>
      <c r="W12" s="29">
        <v>0</v>
      </c>
      <c r="X12" s="33" t="s">
        <v>22</v>
      </c>
      <c r="Y12" s="29">
        <v>2115</v>
      </c>
      <c r="Z12" s="29">
        <v>120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74</v>
      </c>
      <c r="J13" s="29">
        <v>666</v>
      </c>
      <c r="K13" s="29">
        <v>37</v>
      </c>
      <c r="L13" s="33" t="s">
        <v>22</v>
      </c>
      <c r="M13" s="32" t="s">
        <v>22</v>
      </c>
      <c r="N13" s="29">
        <v>0</v>
      </c>
      <c r="O13" s="29">
        <v>46</v>
      </c>
      <c r="P13" s="29">
        <v>552</v>
      </c>
      <c r="Q13" s="29">
        <v>23</v>
      </c>
      <c r="R13" s="33" t="s">
        <v>23</v>
      </c>
      <c r="S13" s="32" t="s">
        <v>23</v>
      </c>
      <c r="T13" s="29">
        <v>32</v>
      </c>
      <c r="U13" s="29">
        <v>32</v>
      </c>
      <c r="V13" s="29">
        <v>576</v>
      </c>
      <c r="W13" s="29">
        <v>16</v>
      </c>
      <c r="X13" s="33" t="s">
        <v>23</v>
      </c>
      <c r="Y13" s="29">
        <v>1794</v>
      </c>
      <c r="Z13" s="29">
        <v>76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29">
        <v>37</v>
      </c>
      <c r="J14" s="29">
        <v>333</v>
      </c>
      <c r="K14" s="29">
        <v>0</v>
      </c>
      <c r="L14" s="33" t="s">
        <v>22</v>
      </c>
      <c r="M14" s="32" t="s">
        <v>22</v>
      </c>
      <c r="N14" s="29">
        <v>0</v>
      </c>
      <c r="O14" s="29">
        <v>23</v>
      </c>
      <c r="P14" s="29">
        <v>276</v>
      </c>
      <c r="Q14" s="29">
        <v>0</v>
      </c>
      <c r="R14" s="33" t="s">
        <v>22</v>
      </c>
      <c r="S14" s="32" t="s">
        <v>22</v>
      </c>
      <c r="T14" s="29">
        <v>0</v>
      </c>
      <c r="U14" s="29">
        <v>16</v>
      </c>
      <c r="V14" s="29">
        <v>288</v>
      </c>
      <c r="W14" s="29">
        <v>0</v>
      </c>
      <c r="X14" s="33" t="s">
        <v>22</v>
      </c>
      <c r="Y14" s="29">
        <v>897</v>
      </c>
      <c r="Z14" s="29">
        <v>0</v>
      </c>
    </row>
    <row r="15" spans="1:26" ht="15" thickBot="1" x14ac:dyDescent="0.4">
      <c r="A15" s="19" t="s">
        <v>28</v>
      </c>
      <c r="B15" s="26">
        <v>1776</v>
      </c>
      <c r="C15" s="26">
        <v>1104</v>
      </c>
      <c r="D15" s="26">
        <v>768</v>
      </c>
      <c r="E15" s="37">
        <v>3648</v>
      </c>
      <c r="F15" s="2">
        <v>13</v>
      </c>
      <c r="G15" s="32" t="s">
        <v>23</v>
      </c>
      <c r="H15" s="29">
        <v>111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23</v>
      </c>
      <c r="N15" s="29">
        <v>69</v>
      </c>
      <c r="O15" s="29">
        <v>69</v>
      </c>
      <c r="P15" s="29">
        <v>828</v>
      </c>
      <c r="Q15" s="29">
        <v>46</v>
      </c>
      <c r="R15" s="33" t="s">
        <v>22</v>
      </c>
      <c r="S15" s="32" t="s">
        <v>23</v>
      </c>
      <c r="T15" s="29">
        <v>32</v>
      </c>
      <c r="U15" s="29">
        <v>32</v>
      </c>
      <c r="V15" s="29">
        <v>576</v>
      </c>
      <c r="W15" s="29">
        <v>16</v>
      </c>
      <c r="X15" s="33" t="s">
        <v>23</v>
      </c>
      <c r="Y15" s="29">
        <v>2403</v>
      </c>
      <c r="Z15" s="29">
        <v>136</v>
      </c>
    </row>
    <row r="16" spans="1:26" ht="15" thickBot="1" x14ac:dyDescent="0.4">
      <c r="A16" s="18" t="s">
        <v>27</v>
      </c>
      <c r="B16" s="27">
        <v>16</v>
      </c>
      <c r="C16" s="27">
        <v>16</v>
      </c>
      <c r="D16" s="28">
        <v>24</v>
      </c>
      <c r="E16" s="37">
        <v>56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29">
        <v>46</v>
      </c>
      <c r="P16" s="29">
        <v>552</v>
      </c>
      <c r="Q16" s="29">
        <v>23</v>
      </c>
      <c r="R16" s="33" t="s">
        <v>23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1506</v>
      </c>
      <c r="Z16" s="29">
        <v>60</v>
      </c>
    </row>
    <row r="17" spans="1:26" ht="15" thickBot="1" x14ac:dyDescent="0.4">
      <c r="A17" s="11" t="s">
        <v>24</v>
      </c>
      <c r="B17" s="24">
        <v>1600</v>
      </c>
      <c r="C17" s="24">
        <v>2400</v>
      </c>
      <c r="D17" s="24">
        <v>1200</v>
      </c>
      <c r="E17" s="25">
        <v>5200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22</v>
      </c>
      <c r="N17" s="29">
        <v>0</v>
      </c>
      <c r="O17" s="29">
        <v>23</v>
      </c>
      <c r="P17" s="29">
        <v>276</v>
      </c>
      <c r="Q17" s="29">
        <v>0</v>
      </c>
      <c r="R17" s="33" t="s">
        <v>22</v>
      </c>
      <c r="S17" s="32" t="s">
        <v>23</v>
      </c>
      <c r="T17" s="29">
        <v>32</v>
      </c>
      <c r="U17" s="29">
        <v>32</v>
      </c>
      <c r="V17" s="29">
        <v>576</v>
      </c>
      <c r="W17" s="29">
        <v>16</v>
      </c>
      <c r="X17" s="33" t="s">
        <v>23</v>
      </c>
      <c r="Y17" s="29">
        <v>1185</v>
      </c>
      <c r="Z17" s="29">
        <v>16</v>
      </c>
    </row>
    <row r="18" spans="1:26" ht="15" thickBot="1" x14ac:dyDescent="0.4">
      <c r="A18" s="11" t="s">
        <v>29</v>
      </c>
      <c r="B18" s="24">
        <v>88800</v>
      </c>
      <c r="C18" s="24">
        <v>386400</v>
      </c>
      <c r="D18" s="24">
        <v>65280</v>
      </c>
      <c r="E18" s="25">
        <v>540480</v>
      </c>
      <c r="F18" s="2">
        <v>16</v>
      </c>
      <c r="G18" s="32" t="s">
        <v>23</v>
      </c>
      <c r="H18" s="29">
        <v>111</v>
      </c>
      <c r="I18" s="29">
        <v>111</v>
      </c>
      <c r="J18" s="29">
        <v>999</v>
      </c>
      <c r="K18" s="29">
        <v>74</v>
      </c>
      <c r="L18" s="33" t="s">
        <v>23</v>
      </c>
      <c r="M18" s="32" t="s">
        <v>23</v>
      </c>
      <c r="N18" s="29">
        <v>69</v>
      </c>
      <c r="O18" s="29">
        <v>69</v>
      </c>
      <c r="P18" s="29">
        <v>828</v>
      </c>
      <c r="Q18" s="29">
        <v>46</v>
      </c>
      <c r="R18" s="33" t="s">
        <v>22</v>
      </c>
      <c r="S18" s="32" t="s">
        <v>22</v>
      </c>
      <c r="T18" s="29">
        <v>0</v>
      </c>
      <c r="U18" s="29">
        <v>16</v>
      </c>
      <c r="V18" s="29">
        <v>288</v>
      </c>
      <c r="W18" s="29">
        <v>0</v>
      </c>
      <c r="X18" s="33" t="s">
        <v>22</v>
      </c>
      <c r="Y18" s="29">
        <v>2115</v>
      </c>
      <c r="Z18" s="29">
        <v>120</v>
      </c>
    </row>
    <row r="19" spans="1:26" ht="15" thickBot="1" x14ac:dyDescent="0.4">
      <c r="A19" s="20" t="s">
        <v>30</v>
      </c>
      <c r="B19" s="25">
        <v>471.75</v>
      </c>
      <c r="C19" s="25">
        <v>1975.75</v>
      </c>
      <c r="D19" s="25">
        <v>170.00000000000003</v>
      </c>
      <c r="E19" s="25">
        <v>2617.5</v>
      </c>
      <c r="F19" s="2">
        <v>17</v>
      </c>
      <c r="G19" s="32" t="s">
        <v>22</v>
      </c>
      <c r="H19" s="29">
        <v>0</v>
      </c>
      <c r="I19" s="29">
        <v>74</v>
      </c>
      <c r="J19" s="29">
        <v>666</v>
      </c>
      <c r="K19" s="29">
        <v>37</v>
      </c>
      <c r="L19" s="33" t="s">
        <v>22</v>
      </c>
      <c r="M19" s="32" t="s">
        <v>22</v>
      </c>
      <c r="N19" s="29">
        <v>0</v>
      </c>
      <c r="O19" s="29">
        <v>46</v>
      </c>
      <c r="P19" s="29">
        <v>552</v>
      </c>
      <c r="Q19" s="29">
        <v>23</v>
      </c>
      <c r="R19" s="33" t="s">
        <v>23</v>
      </c>
      <c r="S19" s="32" t="s">
        <v>23</v>
      </c>
      <c r="T19" s="29">
        <v>32</v>
      </c>
      <c r="U19" s="29">
        <v>32</v>
      </c>
      <c r="V19" s="29">
        <v>576</v>
      </c>
      <c r="W19" s="29">
        <v>16</v>
      </c>
      <c r="X19" s="33" t="s">
        <v>23</v>
      </c>
      <c r="Y19" s="29">
        <v>1794</v>
      </c>
      <c r="Z19" s="29">
        <v>76</v>
      </c>
    </row>
    <row r="20" spans="1:26" ht="15" thickBot="1" x14ac:dyDescent="0.4">
      <c r="A20" s="23" t="s">
        <v>32</v>
      </c>
      <c r="B20" s="67">
        <v>3416</v>
      </c>
      <c r="C20" s="68"/>
      <c r="D20" s="69"/>
      <c r="F20" s="2">
        <v>18</v>
      </c>
      <c r="G20" s="32" t="s">
        <v>22</v>
      </c>
      <c r="H20" s="29">
        <v>0</v>
      </c>
      <c r="I20" s="29">
        <v>37</v>
      </c>
      <c r="J20" s="29">
        <v>333</v>
      </c>
      <c r="K20" s="29">
        <v>0</v>
      </c>
      <c r="L20" s="33" t="s">
        <v>22</v>
      </c>
      <c r="M20" s="32" t="s">
        <v>22</v>
      </c>
      <c r="N20" s="29">
        <v>0</v>
      </c>
      <c r="O20" s="29">
        <v>23</v>
      </c>
      <c r="P20" s="29">
        <v>276</v>
      </c>
      <c r="Q20" s="29">
        <v>0</v>
      </c>
      <c r="R20" s="33" t="s">
        <v>22</v>
      </c>
      <c r="S20" s="32" t="s">
        <v>22</v>
      </c>
      <c r="T20" s="29">
        <v>0</v>
      </c>
      <c r="U20" s="29">
        <v>16</v>
      </c>
      <c r="V20" s="29">
        <v>288</v>
      </c>
      <c r="W20" s="29">
        <v>0</v>
      </c>
      <c r="X20" s="33" t="s">
        <v>22</v>
      </c>
      <c r="Y20" s="29">
        <v>897</v>
      </c>
      <c r="Z20" s="29">
        <v>0</v>
      </c>
    </row>
    <row r="21" spans="1:26" ht="15" thickBot="1" x14ac:dyDescent="0.4">
      <c r="A21" s="21" t="s">
        <v>25</v>
      </c>
      <c r="B21" s="63">
        <v>548297.5</v>
      </c>
      <c r="C21" s="64"/>
      <c r="D21" s="65"/>
      <c r="F21" s="2">
        <v>19</v>
      </c>
      <c r="G21" s="32" t="s">
        <v>23</v>
      </c>
      <c r="H21" s="29">
        <v>111</v>
      </c>
      <c r="I21" s="29">
        <v>111</v>
      </c>
      <c r="J21" s="29">
        <v>999</v>
      </c>
      <c r="K21" s="29">
        <v>74</v>
      </c>
      <c r="L21" s="33" t="s">
        <v>23</v>
      </c>
      <c r="M21" s="32" t="s">
        <v>23</v>
      </c>
      <c r="N21" s="29">
        <v>69</v>
      </c>
      <c r="O21" s="29">
        <v>69</v>
      </c>
      <c r="P21" s="29">
        <v>828</v>
      </c>
      <c r="Q21" s="29">
        <v>46</v>
      </c>
      <c r="R21" s="33" t="s">
        <v>22</v>
      </c>
      <c r="S21" s="32" t="s">
        <v>23</v>
      </c>
      <c r="T21" s="29">
        <v>32</v>
      </c>
      <c r="U21" s="29">
        <v>32</v>
      </c>
      <c r="V21" s="29">
        <v>576</v>
      </c>
      <c r="W21" s="29">
        <v>16</v>
      </c>
      <c r="X21" s="33" t="s">
        <v>23</v>
      </c>
      <c r="Y21" s="29">
        <v>2403</v>
      </c>
      <c r="Z21" s="29">
        <v>136</v>
      </c>
    </row>
    <row r="22" spans="1:26" ht="15" thickBot="1" x14ac:dyDescent="0.4">
      <c r="A22" s="22" t="s">
        <v>20</v>
      </c>
      <c r="B22" s="54">
        <v>0</v>
      </c>
      <c r="C22" s="55"/>
      <c r="D22" s="56"/>
      <c r="F22" s="2">
        <v>20</v>
      </c>
      <c r="G22" s="32" t="s">
        <v>22</v>
      </c>
      <c r="H22" s="29">
        <v>0</v>
      </c>
      <c r="I22" s="29">
        <v>74</v>
      </c>
      <c r="J22" s="29">
        <v>666</v>
      </c>
      <c r="K22" s="29">
        <v>37</v>
      </c>
      <c r="L22" s="33" t="s">
        <v>22</v>
      </c>
      <c r="M22" s="32" t="s">
        <v>22</v>
      </c>
      <c r="N22" s="29">
        <v>0</v>
      </c>
      <c r="O22" s="29">
        <v>46</v>
      </c>
      <c r="P22" s="29">
        <v>552</v>
      </c>
      <c r="Q22" s="29">
        <v>23</v>
      </c>
      <c r="R22" s="33" t="s">
        <v>23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1506</v>
      </c>
      <c r="Z22" s="29">
        <v>60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37</v>
      </c>
      <c r="J23" s="29">
        <v>333</v>
      </c>
      <c r="K23" s="29">
        <v>0</v>
      </c>
      <c r="L23" s="33" t="s">
        <v>22</v>
      </c>
      <c r="M23" s="32" t="s">
        <v>22</v>
      </c>
      <c r="N23" s="29">
        <v>0</v>
      </c>
      <c r="O23" s="29">
        <v>23</v>
      </c>
      <c r="P23" s="29">
        <v>276</v>
      </c>
      <c r="Q23" s="29">
        <v>0</v>
      </c>
      <c r="R23" s="33" t="s">
        <v>22</v>
      </c>
      <c r="S23" s="32" t="s">
        <v>23</v>
      </c>
      <c r="T23" s="29">
        <v>32</v>
      </c>
      <c r="U23" s="29">
        <v>32</v>
      </c>
      <c r="V23" s="29">
        <v>576</v>
      </c>
      <c r="W23" s="29">
        <v>16</v>
      </c>
      <c r="X23" s="33" t="s">
        <v>23</v>
      </c>
      <c r="Y23" s="29">
        <v>1185</v>
      </c>
      <c r="Z23" s="29">
        <v>16</v>
      </c>
    </row>
    <row r="24" spans="1:26" x14ac:dyDescent="0.35">
      <c r="A24" s="38" t="s">
        <v>9</v>
      </c>
      <c r="B24" s="30" t="s">
        <v>42</v>
      </c>
      <c r="C24" s="30" t="s">
        <v>42</v>
      </c>
      <c r="D24" s="30" t="s">
        <v>47</v>
      </c>
      <c r="F24" s="2">
        <v>22</v>
      </c>
      <c r="G24" s="32" t="s">
        <v>23</v>
      </c>
      <c r="H24" s="29">
        <v>111</v>
      </c>
      <c r="I24" s="29">
        <v>111</v>
      </c>
      <c r="J24" s="29">
        <v>999</v>
      </c>
      <c r="K24" s="29">
        <v>74</v>
      </c>
      <c r="L24" s="33" t="s">
        <v>23</v>
      </c>
      <c r="M24" s="32" t="s">
        <v>23</v>
      </c>
      <c r="N24" s="29">
        <v>69</v>
      </c>
      <c r="O24" s="29">
        <v>69</v>
      </c>
      <c r="P24" s="29">
        <v>828</v>
      </c>
      <c r="Q24" s="29">
        <v>46</v>
      </c>
      <c r="R24" s="33" t="s">
        <v>22</v>
      </c>
      <c r="S24" s="32" t="s">
        <v>22</v>
      </c>
      <c r="T24" s="29">
        <v>0</v>
      </c>
      <c r="U24" s="29">
        <v>16</v>
      </c>
      <c r="V24" s="29">
        <v>288</v>
      </c>
      <c r="W24" s="29">
        <v>0</v>
      </c>
      <c r="X24" s="33" t="s">
        <v>22</v>
      </c>
      <c r="Y24" s="29">
        <v>2115</v>
      </c>
      <c r="Z24" s="29">
        <v>120</v>
      </c>
    </row>
    <row r="25" spans="1:26" x14ac:dyDescent="0.35">
      <c r="A25" s="38" t="s">
        <v>44</v>
      </c>
      <c r="B25" s="29" t="s">
        <v>48</v>
      </c>
      <c r="C25" s="29" t="s">
        <v>48</v>
      </c>
      <c r="D25" s="29" t="s">
        <v>48</v>
      </c>
      <c r="F25" s="2">
        <v>23</v>
      </c>
      <c r="G25" s="32" t="s">
        <v>22</v>
      </c>
      <c r="H25" s="29">
        <v>0</v>
      </c>
      <c r="I25" s="29">
        <v>74</v>
      </c>
      <c r="J25" s="29">
        <v>666</v>
      </c>
      <c r="K25" s="29">
        <v>37</v>
      </c>
      <c r="L25" s="33" t="s">
        <v>22</v>
      </c>
      <c r="M25" s="32" t="s">
        <v>22</v>
      </c>
      <c r="N25" s="29">
        <v>0</v>
      </c>
      <c r="O25" s="29">
        <v>46</v>
      </c>
      <c r="P25" s="29">
        <v>552</v>
      </c>
      <c r="Q25" s="29">
        <v>23</v>
      </c>
      <c r="R25" s="33" t="s">
        <v>23</v>
      </c>
      <c r="S25" s="32" t="s">
        <v>23</v>
      </c>
      <c r="T25" s="29">
        <v>32</v>
      </c>
      <c r="U25" s="29">
        <v>32</v>
      </c>
      <c r="V25" s="29">
        <v>576</v>
      </c>
      <c r="W25" s="29">
        <v>16</v>
      </c>
      <c r="X25" s="33" t="s">
        <v>23</v>
      </c>
      <c r="Y25" s="29">
        <v>1794</v>
      </c>
      <c r="Z25" s="29">
        <v>76</v>
      </c>
    </row>
    <row r="26" spans="1:26" x14ac:dyDescent="0.35">
      <c r="A26" s="38"/>
      <c r="F26" s="2">
        <v>24</v>
      </c>
      <c r="G26" s="32" t="s">
        <v>22</v>
      </c>
      <c r="H26" s="29">
        <v>0</v>
      </c>
      <c r="I26" s="29">
        <v>37</v>
      </c>
      <c r="J26" s="29">
        <v>333</v>
      </c>
      <c r="K26" s="29">
        <v>0</v>
      </c>
      <c r="L26" s="33" t="s">
        <v>22</v>
      </c>
      <c r="M26" s="32" t="s">
        <v>22</v>
      </c>
      <c r="N26" s="29">
        <v>0</v>
      </c>
      <c r="O26" s="29">
        <v>23</v>
      </c>
      <c r="P26" s="29">
        <v>276</v>
      </c>
      <c r="Q26" s="29">
        <v>0</v>
      </c>
      <c r="R26" s="33" t="s">
        <v>22</v>
      </c>
      <c r="S26" s="32" t="s">
        <v>22</v>
      </c>
      <c r="T26" s="29">
        <v>0</v>
      </c>
      <c r="U26" s="29">
        <v>16</v>
      </c>
      <c r="V26" s="29">
        <v>288</v>
      </c>
      <c r="W26" s="29">
        <v>0</v>
      </c>
      <c r="X26" s="33" t="s">
        <v>22</v>
      </c>
      <c r="Y26" s="29">
        <v>897</v>
      </c>
      <c r="Z26" s="29">
        <v>0</v>
      </c>
    </row>
    <row r="27" spans="1:26" x14ac:dyDescent="0.35">
      <c r="A27" s="38"/>
      <c r="F27" s="2">
        <v>25</v>
      </c>
      <c r="G27" s="32" t="s">
        <v>23</v>
      </c>
      <c r="H27" s="29">
        <v>111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23</v>
      </c>
      <c r="N27" s="29">
        <v>69</v>
      </c>
      <c r="O27" s="29">
        <v>69</v>
      </c>
      <c r="P27" s="29">
        <v>828</v>
      </c>
      <c r="Q27" s="29">
        <v>46</v>
      </c>
      <c r="R27" s="33" t="s">
        <v>22</v>
      </c>
      <c r="S27" s="32" t="s">
        <v>23</v>
      </c>
      <c r="T27" s="29">
        <v>32</v>
      </c>
      <c r="U27" s="29">
        <v>32</v>
      </c>
      <c r="V27" s="29">
        <v>576</v>
      </c>
      <c r="W27" s="29">
        <v>16</v>
      </c>
      <c r="X27" s="33" t="s">
        <v>23</v>
      </c>
      <c r="Y27" s="29">
        <v>2403</v>
      </c>
      <c r="Z27" s="29">
        <v>136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29">
        <v>46</v>
      </c>
      <c r="P28" s="29">
        <v>552</v>
      </c>
      <c r="Q28" s="29">
        <v>23</v>
      </c>
      <c r="R28" s="33" t="s">
        <v>23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1506</v>
      </c>
      <c r="Z28" s="29">
        <v>60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22</v>
      </c>
      <c r="N29" s="29">
        <v>0</v>
      </c>
      <c r="O29" s="29">
        <v>23</v>
      </c>
      <c r="P29" s="29">
        <v>276</v>
      </c>
      <c r="Q29" s="29">
        <v>0</v>
      </c>
      <c r="R29" s="33" t="s">
        <v>22</v>
      </c>
      <c r="S29" s="32" t="s">
        <v>23</v>
      </c>
      <c r="T29" s="29">
        <v>32</v>
      </c>
      <c r="U29" s="29">
        <v>32</v>
      </c>
      <c r="V29" s="29">
        <v>576</v>
      </c>
      <c r="W29" s="29">
        <v>16</v>
      </c>
      <c r="X29" s="33" t="s">
        <v>23</v>
      </c>
      <c r="Y29" s="29">
        <v>1185</v>
      </c>
      <c r="Z29" s="29">
        <v>16</v>
      </c>
    </row>
    <row r="30" spans="1:26" x14ac:dyDescent="0.35">
      <c r="A30" s="38" t="s">
        <v>35</v>
      </c>
      <c r="B30" s="30">
        <f t="shared" ref="B30:D31" si="0">B3</f>
        <v>111</v>
      </c>
      <c r="C30" s="30">
        <f t="shared" si="0"/>
        <v>69</v>
      </c>
      <c r="D30" s="30">
        <f t="shared" si="0"/>
        <v>32</v>
      </c>
      <c r="F30" s="2">
        <v>28</v>
      </c>
      <c r="G30" s="32" t="s">
        <v>23</v>
      </c>
      <c r="H30" s="29">
        <v>111</v>
      </c>
      <c r="I30" s="29">
        <v>111</v>
      </c>
      <c r="J30" s="29">
        <v>999</v>
      </c>
      <c r="K30" s="29">
        <v>74</v>
      </c>
      <c r="L30" s="33" t="s">
        <v>23</v>
      </c>
      <c r="M30" s="32" t="s">
        <v>23</v>
      </c>
      <c r="N30" s="29">
        <v>69</v>
      </c>
      <c r="O30" s="29">
        <v>69</v>
      </c>
      <c r="P30" s="29">
        <v>828</v>
      </c>
      <c r="Q30" s="29">
        <v>46</v>
      </c>
      <c r="R30" s="33" t="s">
        <v>22</v>
      </c>
      <c r="S30" s="32" t="s">
        <v>22</v>
      </c>
      <c r="T30" s="29">
        <v>0</v>
      </c>
      <c r="U30" s="29">
        <v>16</v>
      </c>
      <c r="V30" s="29">
        <v>288</v>
      </c>
      <c r="W30" s="29">
        <v>0</v>
      </c>
      <c r="X30" s="33" t="s">
        <v>22</v>
      </c>
      <c r="Y30" s="29">
        <v>2115</v>
      </c>
      <c r="Z30" s="29">
        <v>120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23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74</v>
      </c>
      <c r="J31" s="29">
        <v>666</v>
      </c>
      <c r="K31" s="29">
        <v>37</v>
      </c>
      <c r="L31" s="33" t="s">
        <v>22</v>
      </c>
      <c r="M31" s="32" t="s">
        <v>22</v>
      </c>
      <c r="N31" s="29">
        <v>0</v>
      </c>
      <c r="O31" s="29">
        <v>46</v>
      </c>
      <c r="P31" s="29">
        <v>552</v>
      </c>
      <c r="Q31" s="29">
        <v>23</v>
      </c>
      <c r="R31" s="33" t="s">
        <v>23</v>
      </c>
      <c r="S31" s="32" t="s">
        <v>23</v>
      </c>
      <c r="T31" s="29">
        <v>32</v>
      </c>
      <c r="U31" s="29">
        <v>32</v>
      </c>
      <c r="V31" s="29">
        <v>576</v>
      </c>
      <c r="W31" s="29">
        <v>16</v>
      </c>
      <c r="X31" s="33" t="s">
        <v>23</v>
      </c>
      <c r="Y31" s="29">
        <v>1794</v>
      </c>
      <c r="Z31" s="29">
        <v>76</v>
      </c>
    </row>
    <row r="32" spans="1:26" x14ac:dyDescent="0.35">
      <c r="A32" s="38" t="s">
        <v>45</v>
      </c>
      <c r="B32" s="47">
        <f>B22-13</f>
        <v>-13</v>
      </c>
      <c r="E32" s="30"/>
      <c r="F32" s="2">
        <v>30</v>
      </c>
      <c r="G32" s="32" t="s">
        <v>22</v>
      </c>
      <c r="H32" s="29">
        <v>0</v>
      </c>
      <c r="I32" s="29">
        <v>37</v>
      </c>
      <c r="J32" s="29">
        <v>333</v>
      </c>
      <c r="K32" s="29">
        <v>0</v>
      </c>
      <c r="L32" s="33" t="s">
        <v>22</v>
      </c>
      <c r="M32" s="32" t="s">
        <v>22</v>
      </c>
      <c r="N32" s="29">
        <v>0</v>
      </c>
      <c r="O32" s="29">
        <v>23</v>
      </c>
      <c r="P32" s="29">
        <v>276</v>
      </c>
      <c r="Q32" s="29">
        <v>0</v>
      </c>
      <c r="R32" s="33" t="s">
        <v>22</v>
      </c>
      <c r="S32" s="32" t="s">
        <v>22</v>
      </c>
      <c r="T32" s="29">
        <v>0</v>
      </c>
      <c r="U32" s="29">
        <v>16</v>
      </c>
      <c r="V32" s="29">
        <v>288</v>
      </c>
      <c r="W32" s="29">
        <v>0</v>
      </c>
      <c r="X32" s="33" t="s">
        <v>22</v>
      </c>
      <c r="Y32" s="29">
        <v>897</v>
      </c>
      <c r="Z32" s="29">
        <v>0</v>
      </c>
    </row>
    <row r="33" spans="1:26" x14ac:dyDescent="0.35">
      <c r="A33" s="38" t="s">
        <v>46</v>
      </c>
      <c r="B33" s="45">
        <f>B21-507911.75</f>
        <v>40385.75</v>
      </c>
      <c r="F33" s="2">
        <v>31</v>
      </c>
      <c r="G33" s="32" t="s">
        <v>23</v>
      </c>
      <c r="H33" s="29">
        <v>111</v>
      </c>
      <c r="I33" s="29">
        <v>111</v>
      </c>
      <c r="J33" s="29">
        <v>999</v>
      </c>
      <c r="K33" s="29">
        <v>74</v>
      </c>
      <c r="L33" s="33" t="s">
        <v>23</v>
      </c>
      <c r="M33" s="32" t="s">
        <v>23</v>
      </c>
      <c r="N33" s="29">
        <v>69</v>
      </c>
      <c r="O33" s="29">
        <v>69</v>
      </c>
      <c r="P33" s="29">
        <v>828</v>
      </c>
      <c r="Q33" s="29">
        <v>46</v>
      </c>
      <c r="R33" s="33" t="s">
        <v>22</v>
      </c>
      <c r="S33" s="32" t="s">
        <v>23</v>
      </c>
      <c r="T33" s="29">
        <v>32</v>
      </c>
      <c r="U33" s="29">
        <v>32</v>
      </c>
      <c r="V33" s="29">
        <v>576</v>
      </c>
      <c r="W33" s="29">
        <v>16</v>
      </c>
      <c r="X33" s="33" t="s">
        <v>23</v>
      </c>
      <c r="Y33" s="29">
        <v>2403</v>
      </c>
      <c r="Z33" s="29">
        <v>136</v>
      </c>
    </row>
    <row r="34" spans="1:26" x14ac:dyDescent="0.35">
      <c r="F34" s="2">
        <v>32</v>
      </c>
      <c r="G34" s="32" t="s">
        <v>22</v>
      </c>
      <c r="H34" s="29">
        <v>0</v>
      </c>
      <c r="I34" s="29">
        <v>74</v>
      </c>
      <c r="J34" s="29">
        <v>666</v>
      </c>
      <c r="K34" s="29">
        <v>37</v>
      </c>
      <c r="L34" s="33" t="s">
        <v>22</v>
      </c>
      <c r="M34" s="32" t="s">
        <v>22</v>
      </c>
      <c r="N34" s="29">
        <v>0</v>
      </c>
      <c r="O34" s="29">
        <v>46</v>
      </c>
      <c r="P34" s="29">
        <v>552</v>
      </c>
      <c r="Q34" s="29">
        <v>23</v>
      </c>
      <c r="R34" s="33" t="s">
        <v>23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1506</v>
      </c>
      <c r="Z34" s="29">
        <v>60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37</v>
      </c>
      <c r="J35" s="29">
        <v>333</v>
      </c>
      <c r="K35" s="29">
        <v>0</v>
      </c>
      <c r="L35" s="33" t="s">
        <v>22</v>
      </c>
      <c r="M35" s="32" t="s">
        <v>22</v>
      </c>
      <c r="N35" s="29">
        <v>0</v>
      </c>
      <c r="O35" s="29">
        <v>23</v>
      </c>
      <c r="P35" s="29">
        <v>276</v>
      </c>
      <c r="Q35" s="29">
        <v>0</v>
      </c>
      <c r="R35" s="33" t="s">
        <v>22</v>
      </c>
      <c r="S35" s="32" t="s">
        <v>23</v>
      </c>
      <c r="T35" s="29">
        <v>32</v>
      </c>
      <c r="U35" s="29">
        <v>32</v>
      </c>
      <c r="V35" s="29">
        <v>576</v>
      </c>
      <c r="W35" s="29">
        <v>16</v>
      </c>
      <c r="X35" s="33" t="s">
        <v>23</v>
      </c>
      <c r="Y35" s="29">
        <v>1185</v>
      </c>
      <c r="Z35" s="29">
        <v>16</v>
      </c>
    </row>
    <row r="36" spans="1:26" x14ac:dyDescent="0.35">
      <c r="A36" s="38" t="s">
        <v>41</v>
      </c>
      <c r="B36" s="34"/>
      <c r="F36" s="2">
        <v>34</v>
      </c>
      <c r="G36" s="32" t="s">
        <v>23</v>
      </c>
      <c r="H36" s="29">
        <v>111</v>
      </c>
      <c r="I36" s="29">
        <v>111</v>
      </c>
      <c r="J36" s="29">
        <v>999</v>
      </c>
      <c r="K36" s="29">
        <v>74</v>
      </c>
      <c r="L36" s="33" t="s">
        <v>23</v>
      </c>
      <c r="M36" s="32" t="s">
        <v>23</v>
      </c>
      <c r="N36" s="29">
        <v>69</v>
      </c>
      <c r="O36" s="29">
        <v>69</v>
      </c>
      <c r="P36" s="29">
        <v>828</v>
      </c>
      <c r="Q36" s="29">
        <v>46</v>
      </c>
      <c r="R36" s="33" t="s">
        <v>22</v>
      </c>
      <c r="S36" s="32" t="s">
        <v>22</v>
      </c>
      <c r="T36" s="29">
        <v>0</v>
      </c>
      <c r="U36" s="29">
        <v>16</v>
      </c>
      <c r="V36" s="29">
        <v>288</v>
      </c>
      <c r="W36" s="29">
        <v>0</v>
      </c>
      <c r="X36" s="33" t="s">
        <v>22</v>
      </c>
      <c r="Y36" s="29">
        <v>2115</v>
      </c>
      <c r="Z36" s="29">
        <v>120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74</v>
      </c>
      <c r="J37" s="29">
        <v>666</v>
      </c>
      <c r="K37" s="29">
        <v>37</v>
      </c>
      <c r="L37" s="33" t="s">
        <v>22</v>
      </c>
      <c r="M37" s="32" t="s">
        <v>22</v>
      </c>
      <c r="N37" s="29">
        <v>0</v>
      </c>
      <c r="O37" s="29">
        <v>46</v>
      </c>
      <c r="P37" s="29">
        <v>552</v>
      </c>
      <c r="Q37" s="29">
        <v>23</v>
      </c>
      <c r="R37" s="33" t="s">
        <v>23</v>
      </c>
      <c r="S37" s="32" t="s">
        <v>23</v>
      </c>
      <c r="T37" s="29">
        <v>32</v>
      </c>
      <c r="U37" s="29">
        <v>32</v>
      </c>
      <c r="V37" s="29">
        <v>576</v>
      </c>
      <c r="W37" s="29">
        <v>16</v>
      </c>
      <c r="X37" s="33" t="s">
        <v>23</v>
      </c>
      <c r="Y37" s="29">
        <v>1794</v>
      </c>
      <c r="Z37" s="29">
        <v>76</v>
      </c>
    </row>
    <row r="38" spans="1:26" x14ac:dyDescent="0.35">
      <c r="F38" s="2">
        <v>36</v>
      </c>
      <c r="G38" s="32" t="s">
        <v>22</v>
      </c>
      <c r="H38" s="29">
        <v>0</v>
      </c>
      <c r="I38" s="29">
        <v>37</v>
      </c>
      <c r="J38" s="29">
        <v>333</v>
      </c>
      <c r="K38" s="29">
        <v>0</v>
      </c>
      <c r="L38" s="33" t="s">
        <v>22</v>
      </c>
      <c r="M38" s="32" t="s">
        <v>22</v>
      </c>
      <c r="N38" s="29">
        <v>0</v>
      </c>
      <c r="O38" s="29">
        <v>23</v>
      </c>
      <c r="P38" s="29">
        <v>276</v>
      </c>
      <c r="Q38" s="29">
        <v>0</v>
      </c>
      <c r="R38" s="33" t="s">
        <v>22</v>
      </c>
      <c r="S38" s="32" t="s">
        <v>22</v>
      </c>
      <c r="T38" s="29">
        <v>0</v>
      </c>
      <c r="U38" s="29">
        <v>16</v>
      </c>
      <c r="V38" s="29">
        <v>288</v>
      </c>
      <c r="W38" s="29">
        <v>0</v>
      </c>
      <c r="X38" s="33" t="s">
        <v>22</v>
      </c>
      <c r="Y38" s="29">
        <v>897</v>
      </c>
      <c r="Z38" s="29">
        <v>0</v>
      </c>
    </row>
    <row r="39" spans="1:26" x14ac:dyDescent="0.35">
      <c r="F39" s="2">
        <v>37</v>
      </c>
      <c r="G39" s="32" t="s">
        <v>23</v>
      </c>
      <c r="H39" s="29">
        <v>111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23</v>
      </c>
      <c r="N39" s="29">
        <v>69</v>
      </c>
      <c r="O39" s="29">
        <v>69</v>
      </c>
      <c r="P39" s="29">
        <v>828</v>
      </c>
      <c r="Q39" s="29">
        <v>46</v>
      </c>
      <c r="R39" s="33" t="s">
        <v>22</v>
      </c>
      <c r="S39" s="32" t="s">
        <v>23</v>
      </c>
      <c r="T39" s="29">
        <v>32</v>
      </c>
      <c r="U39" s="29">
        <v>32</v>
      </c>
      <c r="V39" s="29">
        <v>576</v>
      </c>
      <c r="W39" s="29">
        <v>16</v>
      </c>
      <c r="X39" s="33" t="s">
        <v>23</v>
      </c>
      <c r="Y39" s="29">
        <v>2403</v>
      </c>
      <c r="Z39" s="29">
        <v>136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29">
        <v>46</v>
      </c>
      <c r="P40" s="29">
        <v>552</v>
      </c>
      <c r="Q40" s="29">
        <v>23</v>
      </c>
      <c r="R40" s="33" t="s">
        <v>23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1506</v>
      </c>
      <c r="Z40" s="29">
        <v>60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22</v>
      </c>
      <c r="N41" s="29">
        <v>0</v>
      </c>
      <c r="O41" s="29">
        <v>23</v>
      </c>
      <c r="P41" s="29">
        <v>276</v>
      </c>
      <c r="Q41" s="29">
        <v>0</v>
      </c>
      <c r="R41" s="33" t="s">
        <v>22</v>
      </c>
      <c r="S41" s="32" t="s">
        <v>23</v>
      </c>
      <c r="T41" s="29">
        <v>32</v>
      </c>
      <c r="U41" s="29">
        <v>32</v>
      </c>
      <c r="V41" s="29">
        <v>576</v>
      </c>
      <c r="W41" s="29">
        <v>16</v>
      </c>
      <c r="X41" s="33" t="s">
        <v>23</v>
      </c>
      <c r="Y41" s="29">
        <v>1185</v>
      </c>
      <c r="Z41" s="29">
        <v>16</v>
      </c>
    </row>
    <row r="42" spans="1:26" x14ac:dyDescent="0.35">
      <c r="F42" s="2">
        <v>40</v>
      </c>
      <c r="G42" s="32" t="s">
        <v>23</v>
      </c>
      <c r="H42" s="29">
        <v>111</v>
      </c>
      <c r="I42" s="29">
        <v>111</v>
      </c>
      <c r="J42" s="29">
        <v>999</v>
      </c>
      <c r="K42" s="29">
        <v>74</v>
      </c>
      <c r="L42" s="33" t="s">
        <v>23</v>
      </c>
      <c r="M42" s="32" t="s">
        <v>23</v>
      </c>
      <c r="N42" s="29">
        <v>69</v>
      </c>
      <c r="O42" s="29">
        <v>69</v>
      </c>
      <c r="P42" s="29">
        <v>828</v>
      </c>
      <c r="Q42" s="29">
        <v>46</v>
      </c>
      <c r="R42" s="33" t="s">
        <v>22</v>
      </c>
      <c r="S42" s="32" t="s">
        <v>22</v>
      </c>
      <c r="T42" s="29">
        <v>0</v>
      </c>
      <c r="U42" s="29">
        <v>16</v>
      </c>
      <c r="V42" s="29">
        <v>288</v>
      </c>
      <c r="W42" s="29">
        <v>0</v>
      </c>
      <c r="X42" s="33" t="s">
        <v>22</v>
      </c>
      <c r="Y42" s="29">
        <v>2115</v>
      </c>
      <c r="Z42" s="29">
        <v>120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74</v>
      </c>
      <c r="J43" s="29">
        <v>666</v>
      </c>
      <c r="K43" s="29">
        <v>37</v>
      </c>
      <c r="L43" s="33" t="s">
        <v>22</v>
      </c>
      <c r="M43" s="32" t="s">
        <v>22</v>
      </c>
      <c r="N43" s="29">
        <v>0</v>
      </c>
      <c r="O43" s="29">
        <v>46</v>
      </c>
      <c r="P43" s="29">
        <v>552</v>
      </c>
      <c r="Q43" s="29">
        <v>23</v>
      </c>
      <c r="R43" s="33" t="s">
        <v>23</v>
      </c>
      <c r="S43" s="32" t="s">
        <v>23</v>
      </c>
      <c r="T43" s="29">
        <v>32</v>
      </c>
      <c r="U43" s="29">
        <v>32</v>
      </c>
      <c r="V43" s="29">
        <v>576</v>
      </c>
      <c r="W43" s="29">
        <v>16</v>
      </c>
      <c r="X43" s="33" t="s">
        <v>23</v>
      </c>
      <c r="Y43" s="29">
        <v>1794</v>
      </c>
      <c r="Z43" s="29">
        <v>76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37</v>
      </c>
      <c r="J44" s="29">
        <v>333</v>
      </c>
      <c r="K44" s="29">
        <v>0</v>
      </c>
      <c r="L44" s="33" t="s">
        <v>22</v>
      </c>
      <c r="M44" s="32" t="s">
        <v>22</v>
      </c>
      <c r="N44" s="29">
        <v>0</v>
      </c>
      <c r="O44" s="29">
        <v>23</v>
      </c>
      <c r="P44" s="29">
        <v>276</v>
      </c>
      <c r="Q44" s="29">
        <v>0</v>
      </c>
      <c r="R44" s="33" t="s">
        <v>22</v>
      </c>
      <c r="S44" s="32" t="s">
        <v>22</v>
      </c>
      <c r="T44" s="29">
        <v>0</v>
      </c>
      <c r="U44" s="29">
        <v>16</v>
      </c>
      <c r="V44" s="29">
        <v>288</v>
      </c>
      <c r="W44" s="29">
        <v>0</v>
      </c>
      <c r="X44" s="33" t="s">
        <v>22</v>
      </c>
      <c r="Y44" s="29">
        <v>897</v>
      </c>
      <c r="Z44" s="29">
        <v>0</v>
      </c>
    </row>
    <row r="45" spans="1:26" x14ac:dyDescent="0.35">
      <c r="F45" s="2">
        <v>43</v>
      </c>
      <c r="G45" s="32" t="s">
        <v>23</v>
      </c>
      <c r="H45" s="29">
        <v>111</v>
      </c>
      <c r="I45" s="29">
        <v>111</v>
      </c>
      <c r="J45" s="29">
        <v>999</v>
      </c>
      <c r="K45" s="29">
        <v>74</v>
      </c>
      <c r="L45" s="33" t="s">
        <v>23</v>
      </c>
      <c r="M45" s="32" t="s">
        <v>23</v>
      </c>
      <c r="N45" s="29">
        <v>69</v>
      </c>
      <c r="O45" s="29">
        <v>69</v>
      </c>
      <c r="P45" s="29">
        <v>828</v>
      </c>
      <c r="Q45" s="29">
        <v>46</v>
      </c>
      <c r="R45" s="33" t="s">
        <v>22</v>
      </c>
      <c r="S45" s="32" t="s">
        <v>23</v>
      </c>
      <c r="T45" s="29">
        <v>32</v>
      </c>
      <c r="U45" s="29">
        <v>32</v>
      </c>
      <c r="V45" s="29">
        <v>576</v>
      </c>
      <c r="W45" s="29">
        <v>16</v>
      </c>
      <c r="X45" s="33" t="s">
        <v>23</v>
      </c>
      <c r="Y45" s="29">
        <v>2403</v>
      </c>
      <c r="Z45" s="29">
        <v>136</v>
      </c>
    </row>
    <row r="46" spans="1:26" x14ac:dyDescent="0.35">
      <c r="F46" s="2">
        <v>44</v>
      </c>
      <c r="G46" s="32" t="s">
        <v>22</v>
      </c>
      <c r="H46" s="29">
        <v>0</v>
      </c>
      <c r="I46" s="29">
        <v>74</v>
      </c>
      <c r="J46" s="29">
        <v>666</v>
      </c>
      <c r="K46" s="29">
        <v>37</v>
      </c>
      <c r="L46" s="33" t="s">
        <v>22</v>
      </c>
      <c r="M46" s="32" t="s">
        <v>22</v>
      </c>
      <c r="N46" s="29">
        <v>0</v>
      </c>
      <c r="O46" s="29">
        <v>46</v>
      </c>
      <c r="P46" s="29">
        <v>552</v>
      </c>
      <c r="Q46" s="29">
        <v>23</v>
      </c>
      <c r="R46" s="33" t="s">
        <v>23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1506</v>
      </c>
      <c r="Z46" s="29">
        <v>60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37</v>
      </c>
      <c r="J47" s="29">
        <v>333</v>
      </c>
      <c r="K47" s="29">
        <v>0</v>
      </c>
      <c r="L47" s="33" t="s">
        <v>22</v>
      </c>
      <c r="M47" s="32" t="s">
        <v>22</v>
      </c>
      <c r="N47" s="29">
        <v>0</v>
      </c>
      <c r="O47" s="29">
        <v>23</v>
      </c>
      <c r="P47" s="29">
        <v>276</v>
      </c>
      <c r="Q47" s="29">
        <v>0</v>
      </c>
      <c r="R47" s="33" t="s">
        <v>22</v>
      </c>
      <c r="S47" s="32" t="s">
        <v>23</v>
      </c>
      <c r="T47" s="29">
        <v>32</v>
      </c>
      <c r="U47" s="29">
        <v>32</v>
      </c>
      <c r="V47" s="29">
        <v>576</v>
      </c>
      <c r="W47" s="29">
        <v>16</v>
      </c>
      <c r="X47" s="33" t="s">
        <v>23</v>
      </c>
      <c r="Y47" s="29">
        <v>1185</v>
      </c>
      <c r="Z47" s="29">
        <v>16</v>
      </c>
    </row>
    <row r="48" spans="1:26" x14ac:dyDescent="0.35">
      <c r="F48" s="2">
        <v>46</v>
      </c>
      <c r="G48" s="32" t="s">
        <v>23</v>
      </c>
      <c r="H48" s="29">
        <v>111</v>
      </c>
      <c r="I48" s="29">
        <v>111</v>
      </c>
      <c r="J48" s="29">
        <v>999</v>
      </c>
      <c r="K48" s="29">
        <v>74</v>
      </c>
      <c r="L48" s="33" t="s">
        <v>23</v>
      </c>
      <c r="M48" s="32" t="s">
        <v>23</v>
      </c>
      <c r="N48" s="29">
        <v>69</v>
      </c>
      <c r="O48" s="29">
        <v>69</v>
      </c>
      <c r="P48" s="29">
        <v>828</v>
      </c>
      <c r="Q48" s="29">
        <v>46</v>
      </c>
      <c r="R48" s="33" t="s">
        <v>22</v>
      </c>
      <c r="S48" s="32" t="s">
        <v>22</v>
      </c>
      <c r="T48" s="29">
        <v>0</v>
      </c>
      <c r="U48" s="29">
        <v>16</v>
      </c>
      <c r="V48" s="29">
        <v>288</v>
      </c>
      <c r="W48" s="29">
        <v>0</v>
      </c>
      <c r="X48" s="33" t="s">
        <v>22</v>
      </c>
      <c r="Y48" s="29">
        <v>2115</v>
      </c>
      <c r="Z48" s="29">
        <v>120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74</v>
      </c>
      <c r="J49" s="29">
        <v>666</v>
      </c>
      <c r="K49" s="29">
        <v>37</v>
      </c>
      <c r="L49" s="33" t="s">
        <v>22</v>
      </c>
      <c r="M49" s="32" t="s">
        <v>22</v>
      </c>
      <c r="N49" s="29">
        <v>0</v>
      </c>
      <c r="O49" s="29">
        <v>46</v>
      </c>
      <c r="P49" s="29">
        <v>552</v>
      </c>
      <c r="Q49" s="29">
        <v>23</v>
      </c>
      <c r="R49" s="33" t="s">
        <v>23</v>
      </c>
      <c r="S49" s="32" t="s">
        <v>23</v>
      </c>
      <c r="T49" s="29">
        <v>32</v>
      </c>
      <c r="U49" s="29">
        <v>32</v>
      </c>
      <c r="V49" s="29">
        <v>576</v>
      </c>
      <c r="W49" s="29">
        <v>16</v>
      </c>
      <c r="X49" s="33" t="s">
        <v>23</v>
      </c>
      <c r="Y49" s="29">
        <v>1794</v>
      </c>
      <c r="Z49" s="29">
        <v>76</v>
      </c>
    </row>
    <row r="50" spans="6:26" x14ac:dyDescent="0.35">
      <c r="F50" s="2">
        <v>48</v>
      </c>
      <c r="G50" s="32" t="s">
        <v>22</v>
      </c>
      <c r="H50" s="29">
        <v>0</v>
      </c>
      <c r="I50" s="29">
        <v>37</v>
      </c>
      <c r="J50" s="29">
        <v>333</v>
      </c>
      <c r="K50" s="29">
        <v>0</v>
      </c>
      <c r="L50" s="33" t="s">
        <v>22</v>
      </c>
      <c r="M50" s="32" t="s">
        <v>22</v>
      </c>
      <c r="N50" s="29">
        <v>0</v>
      </c>
      <c r="O50" s="29">
        <v>23</v>
      </c>
      <c r="P50" s="29">
        <v>276</v>
      </c>
      <c r="Q50" s="29">
        <v>0</v>
      </c>
      <c r="R50" s="33" t="s">
        <v>22</v>
      </c>
      <c r="S50" s="32" t="s">
        <v>22</v>
      </c>
      <c r="T50" s="29">
        <v>0</v>
      </c>
      <c r="U50" s="29">
        <v>16</v>
      </c>
      <c r="V50" s="29">
        <v>288</v>
      </c>
      <c r="W50" s="29">
        <v>0</v>
      </c>
      <c r="X50" s="33" t="s">
        <v>22</v>
      </c>
      <c r="Y50" s="29">
        <v>897</v>
      </c>
      <c r="Z50" s="29">
        <v>0</v>
      </c>
    </row>
    <row r="51" spans="6:26" x14ac:dyDescent="0.35">
      <c r="F51" s="2">
        <v>49</v>
      </c>
      <c r="G51" s="32" t="s">
        <v>23</v>
      </c>
      <c r="H51" s="29">
        <v>111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23</v>
      </c>
      <c r="N51" s="29">
        <v>69</v>
      </c>
      <c r="O51" s="29">
        <v>69</v>
      </c>
      <c r="P51" s="29">
        <v>828</v>
      </c>
      <c r="Q51" s="29">
        <v>46</v>
      </c>
      <c r="R51" s="33" t="s">
        <v>22</v>
      </c>
      <c r="S51" s="32" t="s">
        <v>23</v>
      </c>
      <c r="T51" s="29">
        <v>32</v>
      </c>
      <c r="U51" s="29">
        <v>32</v>
      </c>
      <c r="V51" s="29">
        <v>576</v>
      </c>
      <c r="W51" s="29">
        <v>16</v>
      </c>
      <c r="X51" s="33" t="s">
        <v>23</v>
      </c>
      <c r="Y51" s="29">
        <v>2403</v>
      </c>
      <c r="Z51" s="29">
        <v>136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29">
        <v>46</v>
      </c>
      <c r="P52" s="29">
        <v>552</v>
      </c>
      <c r="Q52" s="29">
        <v>23</v>
      </c>
      <c r="R52" s="33" t="s">
        <v>23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1506</v>
      </c>
      <c r="Z52" s="29">
        <v>60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68EF-0A7F-4368-887C-0696642CD2F0}">
  <sheetPr codeName="Sheet5"/>
  <dimension ref="A1:Z53"/>
  <sheetViews>
    <sheetView topLeftCell="A17" zoomScale="90" zoomScaleNormal="90" workbookViewId="0">
      <selection activeCell="E13" sqref="E13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111</v>
      </c>
      <c r="C3" s="16">
        <v>69</v>
      </c>
      <c r="D3" s="16">
        <v>32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23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24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22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23</v>
      </c>
      <c r="N5" s="29">
        <v>69</v>
      </c>
      <c r="O5" s="29">
        <v>70</v>
      </c>
      <c r="P5" s="29">
        <v>840</v>
      </c>
      <c r="Q5" s="29">
        <v>47</v>
      </c>
      <c r="R5" s="33" t="s">
        <v>22</v>
      </c>
      <c r="S5" s="32" t="s">
        <v>23</v>
      </c>
      <c r="T5" s="29">
        <v>32</v>
      </c>
      <c r="U5" s="29">
        <v>32</v>
      </c>
      <c r="V5" s="29">
        <v>576</v>
      </c>
      <c r="W5" s="29">
        <v>16</v>
      </c>
      <c r="X5" s="33" t="s">
        <v>23</v>
      </c>
      <c r="Y5" s="29">
        <v>1749</v>
      </c>
      <c r="Z5" s="29">
        <v>63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111</v>
      </c>
      <c r="I6" s="29">
        <v>111</v>
      </c>
      <c r="J6" s="29">
        <v>999</v>
      </c>
      <c r="K6" s="29">
        <v>74</v>
      </c>
      <c r="L6" s="33" t="s">
        <v>23</v>
      </c>
      <c r="M6" s="32" t="s">
        <v>22</v>
      </c>
      <c r="N6" s="29">
        <v>0</v>
      </c>
      <c r="O6" s="29">
        <v>47</v>
      </c>
      <c r="P6" s="29">
        <v>564</v>
      </c>
      <c r="Q6" s="29">
        <v>24</v>
      </c>
      <c r="R6" s="33" t="s">
        <v>23</v>
      </c>
      <c r="S6" s="32" t="s">
        <v>22</v>
      </c>
      <c r="T6" s="29">
        <v>0</v>
      </c>
      <c r="U6" s="29">
        <v>16</v>
      </c>
      <c r="V6" s="29">
        <v>288</v>
      </c>
      <c r="W6" s="29">
        <v>0</v>
      </c>
      <c r="X6" s="33" t="s">
        <v>22</v>
      </c>
      <c r="Y6" s="29">
        <v>1851</v>
      </c>
      <c r="Z6" s="29">
        <v>98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74</v>
      </c>
      <c r="J7" s="29">
        <v>666</v>
      </c>
      <c r="K7" s="29">
        <v>37</v>
      </c>
      <c r="L7" s="33" t="s">
        <v>22</v>
      </c>
      <c r="M7" s="32" t="s">
        <v>22</v>
      </c>
      <c r="N7" s="29">
        <v>0</v>
      </c>
      <c r="O7" s="29">
        <v>24</v>
      </c>
      <c r="P7" s="29">
        <v>288</v>
      </c>
      <c r="Q7" s="29">
        <v>1</v>
      </c>
      <c r="R7" s="33" t="s">
        <v>22</v>
      </c>
      <c r="S7" s="32" t="s">
        <v>23</v>
      </c>
      <c r="T7" s="29">
        <v>32</v>
      </c>
      <c r="U7" s="29">
        <v>32</v>
      </c>
      <c r="V7" s="29">
        <v>576</v>
      </c>
      <c r="W7" s="29">
        <v>16</v>
      </c>
      <c r="X7" s="33" t="s">
        <v>23</v>
      </c>
      <c r="Y7" s="29">
        <v>1530</v>
      </c>
      <c r="Z7" s="29">
        <v>54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37</v>
      </c>
      <c r="J8" s="29">
        <v>333</v>
      </c>
      <c r="K8" s="29">
        <v>0</v>
      </c>
      <c r="L8" s="33" t="s">
        <v>22</v>
      </c>
      <c r="M8" s="32" t="s">
        <v>23</v>
      </c>
      <c r="N8" s="29">
        <v>69</v>
      </c>
      <c r="O8" s="29">
        <v>70</v>
      </c>
      <c r="P8" s="29">
        <v>840</v>
      </c>
      <c r="Q8" s="29">
        <v>47</v>
      </c>
      <c r="R8" s="33" t="s">
        <v>22</v>
      </c>
      <c r="S8" s="32" t="s">
        <v>22</v>
      </c>
      <c r="T8" s="29">
        <v>0</v>
      </c>
      <c r="U8" s="29">
        <v>16</v>
      </c>
      <c r="V8" s="29">
        <v>288</v>
      </c>
      <c r="W8" s="29">
        <v>0</v>
      </c>
      <c r="X8" s="33" t="s">
        <v>22</v>
      </c>
      <c r="Y8" s="29">
        <v>1461</v>
      </c>
      <c r="Z8" s="29">
        <v>47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23</v>
      </c>
      <c r="H9" s="29">
        <v>111</v>
      </c>
      <c r="I9" s="29">
        <v>111</v>
      </c>
      <c r="J9" s="29">
        <v>999</v>
      </c>
      <c r="K9" s="29">
        <v>74</v>
      </c>
      <c r="L9" s="33" t="s">
        <v>23</v>
      </c>
      <c r="M9" s="32" t="s">
        <v>22</v>
      </c>
      <c r="N9" s="29">
        <v>0</v>
      </c>
      <c r="O9" s="29">
        <v>47</v>
      </c>
      <c r="P9" s="29">
        <v>564</v>
      </c>
      <c r="Q9" s="29">
        <v>24</v>
      </c>
      <c r="R9" s="33" t="s">
        <v>23</v>
      </c>
      <c r="S9" s="32" t="s">
        <v>23</v>
      </c>
      <c r="T9" s="29">
        <v>32</v>
      </c>
      <c r="U9" s="29">
        <v>32</v>
      </c>
      <c r="V9" s="29">
        <v>576</v>
      </c>
      <c r="W9" s="29">
        <v>16</v>
      </c>
      <c r="X9" s="33" t="s">
        <v>23</v>
      </c>
      <c r="Y9" s="29">
        <v>2139</v>
      </c>
      <c r="Z9" s="29">
        <v>114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29">
        <v>74</v>
      </c>
      <c r="J10" s="29">
        <v>666</v>
      </c>
      <c r="K10" s="29">
        <v>37</v>
      </c>
      <c r="L10" s="33" t="s">
        <v>22</v>
      </c>
      <c r="M10" s="32" t="s">
        <v>22</v>
      </c>
      <c r="N10" s="29">
        <v>0</v>
      </c>
      <c r="O10" s="29">
        <v>24</v>
      </c>
      <c r="P10" s="29">
        <v>288</v>
      </c>
      <c r="Q10" s="29">
        <v>1</v>
      </c>
      <c r="R10" s="33" t="s">
        <v>22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1242</v>
      </c>
      <c r="Z10" s="29">
        <v>38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37</v>
      </c>
      <c r="J11" s="29">
        <v>333</v>
      </c>
      <c r="K11" s="29">
        <v>0</v>
      </c>
      <c r="L11" s="33" t="s">
        <v>22</v>
      </c>
      <c r="M11" s="32" t="s">
        <v>23</v>
      </c>
      <c r="N11" s="29">
        <v>69</v>
      </c>
      <c r="O11" s="29">
        <v>70</v>
      </c>
      <c r="P11" s="29">
        <v>840</v>
      </c>
      <c r="Q11" s="29">
        <v>47</v>
      </c>
      <c r="R11" s="33" t="s">
        <v>22</v>
      </c>
      <c r="S11" s="32" t="s">
        <v>23</v>
      </c>
      <c r="T11" s="29">
        <v>32</v>
      </c>
      <c r="U11" s="29">
        <v>32</v>
      </c>
      <c r="V11" s="29">
        <v>576</v>
      </c>
      <c r="W11" s="29">
        <v>16</v>
      </c>
      <c r="X11" s="33" t="s">
        <v>23</v>
      </c>
      <c r="Y11" s="29">
        <v>1749</v>
      </c>
      <c r="Z11" s="29">
        <v>63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23</v>
      </c>
      <c r="H12" s="29">
        <v>111</v>
      </c>
      <c r="I12" s="29">
        <v>111</v>
      </c>
      <c r="J12" s="29">
        <v>999</v>
      </c>
      <c r="K12" s="29">
        <v>74</v>
      </c>
      <c r="L12" s="33" t="s">
        <v>23</v>
      </c>
      <c r="M12" s="32" t="s">
        <v>22</v>
      </c>
      <c r="N12" s="29">
        <v>0</v>
      </c>
      <c r="O12" s="29">
        <v>47</v>
      </c>
      <c r="P12" s="29">
        <v>564</v>
      </c>
      <c r="Q12" s="29">
        <v>24</v>
      </c>
      <c r="R12" s="33" t="s">
        <v>23</v>
      </c>
      <c r="S12" s="32" t="s">
        <v>22</v>
      </c>
      <c r="T12" s="29">
        <v>0</v>
      </c>
      <c r="U12" s="29">
        <v>16</v>
      </c>
      <c r="V12" s="29">
        <v>288</v>
      </c>
      <c r="W12" s="29">
        <v>0</v>
      </c>
      <c r="X12" s="33" t="s">
        <v>22</v>
      </c>
      <c r="Y12" s="29">
        <v>1851</v>
      </c>
      <c r="Z12" s="29">
        <v>98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74</v>
      </c>
      <c r="J13" s="29">
        <v>666</v>
      </c>
      <c r="K13" s="29">
        <v>37</v>
      </c>
      <c r="L13" s="33" t="s">
        <v>22</v>
      </c>
      <c r="M13" s="32" t="s">
        <v>22</v>
      </c>
      <c r="N13" s="29">
        <v>0</v>
      </c>
      <c r="O13" s="29">
        <v>24</v>
      </c>
      <c r="P13" s="29">
        <v>288</v>
      </c>
      <c r="Q13" s="29">
        <v>1</v>
      </c>
      <c r="R13" s="33" t="s">
        <v>22</v>
      </c>
      <c r="S13" s="32" t="s">
        <v>23</v>
      </c>
      <c r="T13" s="29">
        <v>32</v>
      </c>
      <c r="U13" s="29">
        <v>32</v>
      </c>
      <c r="V13" s="29">
        <v>576</v>
      </c>
      <c r="W13" s="29">
        <v>16</v>
      </c>
      <c r="X13" s="33" t="s">
        <v>23</v>
      </c>
      <c r="Y13" s="29">
        <v>1530</v>
      </c>
      <c r="Z13" s="29">
        <v>54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29">
        <v>37</v>
      </c>
      <c r="J14" s="29">
        <v>333</v>
      </c>
      <c r="K14" s="29">
        <v>0</v>
      </c>
      <c r="L14" s="33" t="s">
        <v>22</v>
      </c>
      <c r="M14" s="32" t="s">
        <v>23</v>
      </c>
      <c r="N14" s="29">
        <v>69</v>
      </c>
      <c r="O14" s="29">
        <v>70</v>
      </c>
      <c r="P14" s="29">
        <v>840</v>
      </c>
      <c r="Q14" s="29">
        <v>47</v>
      </c>
      <c r="R14" s="33" t="s">
        <v>22</v>
      </c>
      <c r="S14" s="32" t="s">
        <v>22</v>
      </c>
      <c r="T14" s="29">
        <v>0</v>
      </c>
      <c r="U14" s="29">
        <v>16</v>
      </c>
      <c r="V14" s="29">
        <v>288</v>
      </c>
      <c r="W14" s="29">
        <v>0</v>
      </c>
      <c r="X14" s="33" t="s">
        <v>22</v>
      </c>
      <c r="Y14" s="29">
        <v>1461</v>
      </c>
      <c r="Z14" s="29">
        <v>47</v>
      </c>
    </row>
    <row r="15" spans="1:26" ht="15" thickBot="1" x14ac:dyDescent="0.4">
      <c r="A15" s="19" t="s">
        <v>28</v>
      </c>
      <c r="B15" s="26">
        <v>1776</v>
      </c>
      <c r="C15" s="26">
        <v>1104</v>
      </c>
      <c r="D15" s="26">
        <v>768</v>
      </c>
      <c r="E15" s="37">
        <v>3648</v>
      </c>
      <c r="F15" s="2">
        <v>13</v>
      </c>
      <c r="G15" s="32" t="s">
        <v>23</v>
      </c>
      <c r="H15" s="29">
        <v>111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22</v>
      </c>
      <c r="N15" s="29">
        <v>0</v>
      </c>
      <c r="O15" s="29">
        <v>47</v>
      </c>
      <c r="P15" s="29">
        <v>564</v>
      </c>
      <c r="Q15" s="29">
        <v>24</v>
      </c>
      <c r="R15" s="33" t="s">
        <v>23</v>
      </c>
      <c r="S15" s="32" t="s">
        <v>23</v>
      </c>
      <c r="T15" s="29">
        <v>32</v>
      </c>
      <c r="U15" s="29">
        <v>32</v>
      </c>
      <c r="V15" s="29">
        <v>576</v>
      </c>
      <c r="W15" s="29">
        <v>16</v>
      </c>
      <c r="X15" s="33" t="s">
        <v>23</v>
      </c>
      <c r="Y15" s="29">
        <v>2139</v>
      </c>
      <c r="Z15" s="29">
        <v>114</v>
      </c>
    </row>
    <row r="16" spans="1:26" ht="15" thickBot="1" x14ac:dyDescent="0.4">
      <c r="A16" s="18" t="s">
        <v>27</v>
      </c>
      <c r="B16" s="27">
        <v>16</v>
      </c>
      <c r="C16" s="27">
        <v>16</v>
      </c>
      <c r="D16" s="28">
        <v>24</v>
      </c>
      <c r="E16" s="37">
        <v>56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29">
        <v>24</v>
      </c>
      <c r="P16" s="29">
        <v>288</v>
      </c>
      <c r="Q16" s="29">
        <v>1</v>
      </c>
      <c r="R16" s="33" t="s">
        <v>22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1242</v>
      </c>
      <c r="Z16" s="29">
        <v>38</v>
      </c>
    </row>
    <row r="17" spans="1:26" ht="15" thickBot="1" x14ac:dyDescent="0.4">
      <c r="A17" s="11" t="s">
        <v>24</v>
      </c>
      <c r="B17" s="24">
        <v>1600</v>
      </c>
      <c r="C17" s="24">
        <v>2400</v>
      </c>
      <c r="D17" s="24">
        <v>1200</v>
      </c>
      <c r="E17" s="25">
        <v>5200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23</v>
      </c>
      <c r="N17" s="29">
        <v>69</v>
      </c>
      <c r="O17" s="29">
        <v>70</v>
      </c>
      <c r="P17" s="29">
        <v>840</v>
      </c>
      <c r="Q17" s="29">
        <v>47</v>
      </c>
      <c r="R17" s="33" t="s">
        <v>22</v>
      </c>
      <c r="S17" s="32" t="s">
        <v>23</v>
      </c>
      <c r="T17" s="29">
        <v>32</v>
      </c>
      <c r="U17" s="29">
        <v>32</v>
      </c>
      <c r="V17" s="29">
        <v>576</v>
      </c>
      <c r="W17" s="29">
        <v>16</v>
      </c>
      <c r="X17" s="33" t="s">
        <v>23</v>
      </c>
      <c r="Y17" s="29">
        <v>1749</v>
      </c>
      <c r="Z17" s="29">
        <v>63</v>
      </c>
    </row>
    <row r="18" spans="1:26" ht="15" thickBot="1" x14ac:dyDescent="0.4">
      <c r="A18" s="11" t="s">
        <v>29</v>
      </c>
      <c r="B18" s="24">
        <v>88800</v>
      </c>
      <c r="C18" s="24">
        <v>386400</v>
      </c>
      <c r="D18" s="24">
        <v>65280</v>
      </c>
      <c r="E18" s="25">
        <v>540480</v>
      </c>
      <c r="F18" s="2">
        <v>16</v>
      </c>
      <c r="G18" s="32" t="s">
        <v>23</v>
      </c>
      <c r="H18" s="29">
        <v>111</v>
      </c>
      <c r="I18" s="29">
        <v>111</v>
      </c>
      <c r="J18" s="29">
        <v>999</v>
      </c>
      <c r="K18" s="29">
        <v>74</v>
      </c>
      <c r="L18" s="33" t="s">
        <v>23</v>
      </c>
      <c r="M18" s="32" t="s">
        <v>22</v>
      </c>
      <c r="N18" s="29">
        <v>0</v>
      </c>
      <c r="O18" s="29">
        <v>47</v>
      </c>
      <c r="P18" s="29">
        <v>564</v>
      </c>
      <c r="Q18" s="29">
        <v>24</v>
      </c>
      <c r="R18" s="33" t="s">
        <v>23</v>
      </c>
      <c r="S18" s="32" t="s">
        <v>22</v>
      </c>
      <c r="T18" s="29">
        <v>0</v>
      </c>
      <c r="U18" s="29">
        <v>16</v>
      </c>
      <c r="V18" s="29">
        <v>288</v>
      </c>
      <c r="W18" s="29">
        <v>0</v>
      </c>
      <c r="X18" s="33" t="s">
        <v>22</v>
      </c>
      <c r="Y18" s="29">
        <v>1851</v>
      </c>
      <c r="Z18" s="29">
        <v>98</v>
      </c>
    </row>
    <row r="19" spans="1:26" ht="15" thickBot="1" x14ac:dyDescent="0.4">
      <c r="A19" s="20" t="s">
        <v>30</v>
      </c>
      <c r="B19" s="25">
        <v>471.75</v>
      </c>
      <c r="C19" s="25">
        <v>2059.75</v>
      </c>
      <c r="D19" s="25">
        <v>170.00000000000003</v>
      </c>
      <c r="E19" s="25">
        <v>2701.5</v>
      </c>
      <c r="F19" s="2">
        <v>17</v>
      </c>
      <c r="G19" s="32" t="s">
        <v>22</v>
      </c>
      <c r="H19" s="29">
        <v>0</v>
      </c>
      <c r="I19" s="29">
        <v>74</v>
      </c>
      <c r="J19" s="29">
        <v>666</v>
      </c>
      <c r="K19" s="29">
        <v>37</v>
      </c>
      <c r="L19" s="33" t="s">
        <v>22</v>
      </c>
      <c r="M19" s="32" t="s">
        <v>22</v>
      </c>
      <c r="N19" s="29">
        <v>0</v>
      </c>
      <c r="O19" s="29">
        <v>24</v>
      </c>
      <c r="P19" s="29">
        <v>288</v>
      </c>
      <c r="Q19" s="29">
        <v>1</v>
      </c>
      <c r="R19" s="33" t="s">
        <v>22</v>
      </c>
      <c r="S19" s="32" t="s">
        <v>23</v>
      </c>
      <c r="T19" s="29">
        <v>32</v>
      </c>
      <c r="U19" s="29">
        <v>32</v>
      </c>
      <c r="V19" s="29">
        <v>576</v>
      </c>
      <c r="W19" s="29">
        <v>16</v>
      </c>
      <c r="X19" s="33" t="s">
        <v>23</v>
      </c>
      <c r="Y19" s="29">
        <v>1530</v>
      </c>
      <c r="Z19" s="29">
        <v>54</v>
      </c>
    </row>
    <row r="20" spans="1:26" ht="15" thickBot="1" x14ac:dyDescent="0.4">
      <c r="A20" s="23" t="s">
        <v>32</v>
      </c>
      <c r="B20" s="67">
        <v>3464</v>
      </c>
      <c r="C20" s="68"/>
      <c r="D20" s="69"/>
      <c r="F20" s="2">
        <v>18</v>
      </c>
      <c r="G20" s="32" t="s">
        <v>22</v>
      </c>
      <c r="H20" s="29">
        <v>0</v>
      </c>
      <c r="I20" s="29">
        <v>37</v>
      </c>
      <c r="J20" s="29">
        <v>333</v>
      </c>
      <c r="K20" s="29">
        <v>0</v>
      </c>
      <c r="L20" s="33" t="s">
        <v>22</v>
      </c>
      <c r="M20" s="32" t="s">
        <v>23</v>
      </c>
      <c r="N20" s="29">
        <v>69</v>
      </c>
      <c r="O20" s="29">
        <v>70</v>
      </c>
      <c r="P20" s="29">
        <v>840</v>
      </c>
      <c r="Q20" s="29">
        <v>47</v>
      </c>
      <c r="R20" s="33" t="s">
        <v>22</v>
      </c>
      <c r="S20" s="32" t="s">
        <v>22</v>
      </c>
      <c r="T20" s="29">
        <v>0</v>
      </c>
      <c r="U20" s="29">
        <v>16</v>
      </c>
      <c r="V20" s="29">
        <v>288</v>
      </c>
      <c r="W20" s="29">
        <v>0</v>
      </c>
      <c r="X20" s="33" t="s">
        <v>22</v>
      </c>
      <c r="Y20" s="29">
        <v>1461</v>
      </c>
      <c r="Z20" s="29">
        <v>47</v>
      </c>
    </row>
    <row r="21" spans="1:26" ht="15" thickBot="1" x14ac:dyDescent="0.4">
      <c r="A21" s="21" t="s">
        <v>25</v>
      </c>
      <c r="B21" s="63">
        <v>548381.5</v>
      </c>
      <c r="C21" s="64"/>
      <c r="D21" s="65"/>
      <c r="F21" s="2">
        <v>19</v>
      </c>
      <c r="G21" s="32" t="s">
        <v>23</v>
      </c>
      <c r="H21" s="29">
        <v>111</v>
      </c>
      <c r="I21" s="29">
        <v>111</v>
      </c>
      <c r="J21" s="29">
        <v>999</v>
      </c>
      <c r="K21" s="29">
        <v>74</v>
      </c>
      <c r="L21" s="33" t="s">
        <v>23</v>
      </c>
      <c r="M21" s="32" t="s">
        <v>22</v>
      </c>
      <c r="N21" s="29">
        <v>0</v>
      </c>
      <c r="O21" s="29">
        <v>47</v>
      </c>
      <c r="P21" s="29">
        <v>564</v>
      </c>
      <c r="Q21" s="29">
        <v>24</v>
      </c>
      <c r="R21" s="33" t="s">
        <v>23</v>
      </c>
      <c r="S21" s="32" t="s">
        <v>23</v>
      </c>
      <c r="T21" s="29">
        <v>32</v>
      </c>
      <c r="U21" s="29">
        <v>32</v>
      </c>
      <c r="V21" s="29">
        <v>576</v>
      </c>
      <c r="W21" s="29">
        <v>16</v>
      </c>
      <c r="X21" s="33" t="s">
        <v>23</v>
      </c>
      <c r="Y21" s="29">
        <v>2139</v>
      </c>
      <c r="Z21" s="29">
        <v>114</v>
      </c>
    </row>
    <row r="22" spans="1:26" ht="15" thickBot="1" x14ac:dyDescent="0.4">
      <c r="A22" s="22" t="s">
        <v>20</v>
      </c>
      <c r="B22" s="54">
        <v>0</v>
      </c>
      <c r="C22" s="55"/>
      <c r="D22" s="56"/>
      <c r="F22" s="2">
        <v>20</v>
      </c>
      <c r="G22" s="32" t="s">
        <v>22</v>
      </c>
      <c r="H22" s="29">
        <v>0</v>
      </c>
      <c r="I22" s="29">
        <v>74</v>
      </c>
      <c r="J22" s="29">
        <v>666</v>
      </c>
      <c r="K22" s="29">
        <v>37</v>
      </c>
      <c r="L22" s="33" t="s">
        <v>22</v>
      </c>
      <c r="M22" s="32" t="s">
        <v>22</v>
      </c>
      <c r="N22" s="29">
        <v>0</v>
      </c>
      <c r="O22" s="29">
        <v>24</v>
      </c>
      <c r="P22" s="29">
        <v>288</v>
      </c>
      <c r="Q22" s="29">
        <v>1</v>
      </c>
      <c r="R22" s="33" t="s">
        <v>22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1242</v>
      </c>
      <c r="Z22" s="29">
        <v>38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37</v>
      </c>
      <c r="J23" s="29">
        <v>333</v>
      </c>
      <c r="K23" s="29">
        <v>0</v>
      </c>
      <c r="L23" s="33" t="s">
        <v>22</v>
      </c>
      <c r="M23" s="32" t="s">
        <v>23</v>
      </c>
      <c r="N23" s="29">
        <v>69</v>
      </c>
      <c r="O23" s="29">
        <v>70</v>
      </c>
      <c r="P23" s="29">
        <v>840</v>
      </c>
      <c r="Q23" s="29">
        <v>47</v>
      </c>
      <c r="R23" s="33" t="s">
        <v>22</v>
      </c>
      <c r="S23" s="32" t="s">
        <v>23</v>
      </c>
      <c r="T23" s="29">
        <v>32</v>
      </c>
      <c r="U23" s="29">
        <v>32</v>
      </c>
      <c r="V23" s="29">
        <v>576</v>
      </c>
      <c r="W23" s="29">
        <v>16</v>
      </c>
      <c r="X23" s="33" t="s">
        <v>23</v>
      </c>
      <c r="Y23" s="29">
        <v>1749</v>
      </c>
      <c r="Z23" s="29">
        <v>63</v>
      </c>
    </row>
    <row r="24" spans="1:26" x14ac:dyDescent="0.35">
      <c r="A24" s="38" t="s">
        <v>9</v>
      </c>
      <c r="B24" s="30" t="s">
        <v>42</v>
      </c>
      <c r="C24" s="30" t="s">
        <v>42</v>
      </c>
      <c r="D24" s="30" t="s">
        <v>47</v>
      </c>
      <c r="F24" s="2">
        <v>22</v>
      </c>
      <c r="G24" s="32" t="s">
        <v>23</v>
      </c>
      <c r="H24" s="29">
        <v>111</v>
      </c>
      <c r="I24" s="29">
        <v>111</v>
      </c>
      <c r="J24" s="29">
        <v>999</v>
      </c>
      <c r="K24" s="29">
        <v>74</v>
      </c>
      <c r="L24" s="33" t="s">
        <v>23</v>
      </c>
      <c r="M24" s="32" t="s">
        <v>22</v>
      </c>
      <c r="N24" s="29">
        <v>0</v>
      </c>
      <c r="O24" s="29">
        <v>47</v>
      </c>
      <c r="P24" s="29">
        <v>564</v>
      </c>
      <c r="Q24" s="29">
        <v>24</v>
      </c>
      <c r="R24" s="33" t="s">
        <v>23</v>
      </c>
      <c r="S24" s="32" t="s">
        <v>22</v>
      </c>
      <c r="T24" s="29">
        <v>0</v>
      </c>
      <c r="U24" s="29">
        <v>16</v>
      </c>
      <c r="V24" s="29">
        <v>288</v>
      </c>
      <c r="W24" s="29">
        <v>0</v>
      </c>
      <c r="X24" s="33" t="s">
        <v>22</v>
      </c>
      <c r="Y24" s="29">
        <v>1851</v>
      </c>
      <c r="Z24" s="29">
        <v>98</v>
      </c>
    </row>
    <row r="25" spans="1:26" x14ac:dyDescent="0.35">
      <c r="A25" s="38" t="s">
        <v>44</v>
      </c>
      <c r="B25" s="29" t="s">
        <v>48</v>
      </c>
      <c r="C25" s="29" t="s">
        <v>49</v>
      </c>
      <c r="D25" s="29" t="s">
        <v>48</v>
      </c>
      <c r="F25" s="2">
        <v>23</v>
      </c>
      <c r="G25" s="32" t="s">
        <v>22</v>
      </c>
      <c r="H25" s="29">
        <v>0</v>
      </c>
      <c r="I25" s="29">
        <v>74</v>
      </c>
      <c r="J25" s="29">
        <v>666</v>
      </c>
      <c r="K25" s="29">
        <v>37</v>
      </c>
      <c r="L25" s="33" t="s">
        <v>22</v>
      </c>
      <c r="M25" s="32" t="s">
        <v>22</v>
      </c>
      <c r="N25" s="29">
        <v>0</v>
      </c>
      <c r="O25" s="29">
        <v>24</v>
      </c>
      <c r="P25" s="29">
        <v>288</v>
      </c>
      <c r="Q25" s="29">
        <v>1</v>
      </c>
      <c r="R25" s="33" t="s">
        <v>22</v>
      </c>
      <c r="S25" s="32" t="s">
        <v>23</v>
      </c>
      <c r="T25" s="29">
        <v>32</v>
      </c>
      <c r="U25" s="29">
        <v>32</v>
      </c>
      <c r="V25" s="29">
        <v>576</v>
      </c>
      <c r="W25" s="29">
        <v>16</v>
      </c>
      <c r="X25" s="33" t="s">
        <v>23</v>
      </c>
      <c r="Y25" s="29">
        <v>1530</v>
      </c>
      <c r="Z25" s="29">
        <v>54</v>
      </c>
    </row>
    <row r="26" spans="1:26" x14ac:dyDescent="0.35">
      <c r="A26" s="38"/>
      <c r="F26" s="2">
        <v>24</v>
      </c>
      <c r="G26" s="32" t="s">
        <v>22</v>
      </c>
      <c r="H26" s="29">
        <v>0</v>
      </c>
      <c r="I26" s="29">
        <v>37</v>
      </c>
      <c r="J26" s="29">
        <v>333</v>
      </c>
      <c r="K26" s="29">
        <v>0</v>
      </c>
      <c r="L26" s="33" t="s">
        <v>22</v>
      </c>
      <c r="M26" s="32" t="s">
        <v>23</v>
      </c>
      <c r="N26" s="29">
        <v>69</v>
      </c>
      <c r="O26" s="29">
        <v>70</v>
      </c>
      <c r="P26" s="29">
        <v>840</v>
      </c>
      <c r="Q26" s="29">
        <v>47</v>
      </c>
      <c r="R26" s="33" t="s">
        <v>22</v>
      </c>
      <c r="S26" s="32" t="s">
        <v>22</v>
      </c>
      <c r="T26" s="29">
        <v>0</v>
      </c>
      <c r="U26" s="29">
        <v>16</v>
      </c>
      <c r="V26" s="29">
        <v>288</v>
      </c>
      <c r="W26" s="29">
        <v>0</v>
      </c>
      <c r="X26" s="33" t="s">
        <v>22</v>
      </c>
      <c r="Y26" s="29">
        <v>1461</v>
      </c>
      <c r="Z26" s="29">
        <v>47</v>
      </c>
    </row>
    <row r="27" spans="1:26" x14ac:dyDescent="0.35">
      <c r="A27" s="38"/>
      <c r="F27" s="2">
        <v>25</v>
      </c>
      <c r="G27" s="32" t="s">
        <v>23</v>
      </c>
      <c r="H27" s="29">
        <v>111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22</v>
      </c>
      <c r="N27" s="29">
        <v>0</v>
      </c>
      <c r="O27" s="29">
        <v>47</v>
      </c>
      <c r="P27" s="29">
        <v>564</v>
      </c>
      <c r="Q27" s="29">
        <v>24</v>
      </c>
      <c r="R27" s="33" t="s">
        <v>23</v>
      </c>
      <c r="S27" s="32" t="s">
        <v>23</v>
      </c>
      <c r="T27" s="29">
        <v>32</v>
      </c>
      <c r="U27" s="29">
        <v>32</v>
      </c>
      <c r="V27" s="29">
        <v>576</v>
      </c>
      <c r="W27" s="29">
        <v>16</v>
      </c>
      <c r="X27" s="33" t="s">
        <v>23</v>
      </c>
      <c r="Y27" s="29">
        <v>2139</v>
      </c>
      <c r="Z27" s="29">
        <v>114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29">
        <v>24</v>
      </c>
      <c r="P28" s="29">
        <v>288</v>
      </c>
      <c r="Q28" s="29">
        <v>1</v>
      </c>
      <c r="R28" s="33" t="s">
        <v>22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1242</v>
      </c>
      <c r="Z28" s="29">
        <v>38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23</v>
      </c>
      <c r="N29" s="29">
        <v>69</v>
      </c>
      <c r="O29" s="29">
        <v>70</v>
      </c>
      <c r="P29" s="29">
        <v>840</v>
      </c>
      <c r="Q29" s="29">
        <v>47</v>
      </c>
      <c r="R29" s="33" t="s">
        <v>22</v>
      </c>
      <c r="S29" s="32" t="s">
        <v>23</v>
      </c>
      <c r="T29" s="29">
        <v>32</v>
      </c>
      <c r="U29" s="29">
        <v>32</v>
      </c>
      <c r="V29" s="29">
        <v>576</v>
      </c>
      <c r="W29" s="29">
        <v>16</v>
      </c>
      <c r="X29" s="33" t="s">
        <v>23</v>
      </c>
      <c r="Y29" s="29">
        <v>1749</v>
      </c>
      <c r="Z29" s="29">
        <v>63</v>
      </c>
    </row>
    <row r="30" spans="1:26" x14ac:dyDescent="0.35">
      <c r="A30" s="38" t="s">
        <v>35</v>
      </c>
      <c r="B30" s="30">
        <f t="shared" ref="B30:D31" si="0">B3</f>
        <v>111</v>
      </c>
      <c r="C30" s="30">
        <f t="shared" si="0"/>
        <v>69</v>
      </c>
      <c r="D30" s="30">
        <f t="shared" si="0"/>
        <v>32</v>
      </c>
      <c r="F30" s="2">
        <v>28</v>
      </c>
      <c r="G30" s="32" t="s">
        <v>23</v>
      </c>
      <c r="H30" s="29">
        <v>111</v>
      </c>
      <c r="I30" s="29">
        <v>111</v>
      </c>
      <c r="J30" s="29">
        <v>999</v>
      </c>
      <c r="K30" s="29">
        <v>74</v>
      </c>
      <c r="L30" s="33" t="s">
        <v>23</v>
      </c>
      <c r="M30" s="32" t="s">
        <v>22</v>
      </c>
      <c r="N30" s="29">
        <v>0</v>
      </c>
      <c r="O30" s="29">
        <v>47</v>
      </c>
      <c r="P30" s="29">
        <v>564</v>
      </c>
      <c r="Q30" s="29">
        <v>24</v>
      </c>
      <c r="R30" s="33" t="s">
        <v>23</v>
      </c>
      <c r="S30" s="32" t="s">
        <v>22</v>
      </c>
      <c r="T30" s="29">
        <v>0</v>
      </c>
      <c r="U30" s="29">
        <v>16</v>
      </c>
      <c r="V30" s="29">
        <v>288</v>
      </c>
      <c r="W30" s="29">
        <v>0</v>
      </c>
      <c r="X30" s="33" t="s">
        <v>22</v>
      </c>
      <c r="Y30" s="29">
        <v>1851</v>
      </c>
      <c r="Z30" s="29">
        <v>98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24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74</v>
      </c>
      <c r="J31" s="29">
        <v>666</v>
      </c>
      <c r="K31" s="29">
        <v>37</v>
      </c>
      <c r="L31" s="33" t="s">
        <v>22</v>
      </c>
      <c r="M31" s="32" t="s">
        <v>22</v>
      </c>
      <c r="N31" s="29">
        <v>0</v>
      </c>
      <c r="O31" s="29">
        <v>24</v>
      </c>
      <c r="P31" s="29">
        <v>288</v>
      </c>
      <c r="Q31" s="29">
        <v>1</v>
      </c>
      <c r="R31" s="33" t="s">
        <v>22</v>
      </c>
      <c r="S31" s="32" t="s">
        <v>23</v>
      </c>
      <c r="T31" s="29">
        <v>32</v>
      </c>
      <c r="U31" s="29">
        <v>32</v>
      </c>
      <c r="V31" s="29">
        <v>576</v>
      </c>
      <c r="W31" s="29">
        <v>16</v>
      </c>
      <c r="X31" s="33" t="s">
        <v>23</v>
      </c>
      <c r="Y31" s="29">
        <v>1530</v>
      </c>
      <c r="Z31" s="29">
        <v>54</v>
      </c>
    </row>
    <row r="32" spans="1:26" x14ac:dyDescent="0.35">
      <c r="A32" s="38" t="s">
        <v>45</v>
      </c>
      <c r="B32" s="47">
        <f>B22-13</f>
        <v>-13</v>
      </c>
      <c r="E32" s="30"/>
      <c r="F32" s="2">
        <v>30</v>
      </c>
      <c r="G32" s="32" t="s">
        <v>22</v>
      </c>
      <c r="H32" s="29">
        <v>0</v>
      </c>
      <c r="I32" s="29">
        <v>37</v>
      </c>
      <c r="J32" s="29">
        <v>333</v>
      </c>
      <c r="K32" s="29">
        <v>0</v>
      </c>
      <c r="L32" s="33" t="s">
        <v>22</v>
      </c>
      <c r="M32" s="32" t="s">
        <v>23</v>
      </c>
      <c r="N32" s="29">
        <v>69</v>
      </c>
      <c r="O32" s="29">
        <v>70</v>
      </c>
      <c r="P32" s="29">
        <v>840</v>
      </c>
      <c r="Q32" s="29">
        <v>47</v>
      </c>
      <c r="R32" s="33" t="s">
        <v>22</v>
      </c>
      <c r="S32" s="32" t="s">
        <v>22</v>
      </c>
      <c r="T32" s="29">
        <v>0</v>
      </c>
      <c r="U32" s="29">
        <v>16</v>
      </c>
      <c r="V32" s="29">
        <v>288</v>
      </c>
      <c r="W32" s="29">
        <v>0</v>
      </c>
      <c r="X32" s="33" t="s">
        <v>22</v>
      </c>
      <c r="Y32" s="29">
        <v>1461</v>
      </c>
      <c r="Z32" s="29">
        <v>47</v>
      </c>
    </row>
    <row r="33" spans="1:26" x14ac:dyDescent="0.35">
      <c r="A33" s="38" t="s">
        <v>46</v>
      </c>
      <c r="B33" s="45">
        <f>B21-507911.75</f>
        <v>40469.75</v>
      </c>
      <c r="F33" s="2">
        <v>31</v>
      </c>
      <c r="G33" s="32" t="s">
        <v>23</v>
      </c>
      <c r="H33" s="29">
        <v>111</v>
      </c>
      <c r="I33" s="29">
        <v>111</v>
      </c>
      <c r="J33" s="29">
        <v>999</v>
      </c>
      <c r="K33" s="29">
        <v>74</v>
      </c>
      <c r="L33" s="33" t="s">
        <v>23</v>
      </c>
      <c r="M33" s="32" t="s">
        <v>22</v>
      </c>
      <c r="N33" s="29">
        <v>0</v>
      </c>
      <c r="O33" s="29">
        <v>47</v>
      </c>
      <c r="P33" s="29">
        <v>564</v>
      </c>
      <c r="Q33" s="29">
        <v>24</v>
      </c>
      <c r="R33" s="33" t="s">
        <v>23</v>
      </c>
      <c r="S33" s="32" t="s">
        <v>23</v>
      </c>
      <c r="T33" s="29">
        <v>32</v>
      </c>
      <c r="U33" s="29">
        <v>32</v>
      </c>
      <c r="V33" s="29">
        <v>576</v>
      </c>
      <c r="W33" s="29">
        <v>16</v>
      </c>
      <c r="X33" s="33" t="s">
        <v>23</v>
      </c>
      <c r="Y33" s="29">
        <v>2139</v>
      </c>
      <c r="Z33" s="29">
        <v>114</v>
      </c>
    </row>
    <row r="34" spans="1:26" x14ac:dyDescent="0.35">
      <c r="F34" s="2">
        <v>32</v>
      </c>
      <c r="G34" s="32" t="s">
        <v>22</v>
      </c>
      <c r="H34" s="29">
        <v>0</v>
      </c>
      <c r="I34" s="29">
        <v>74</v>
      </c>
      <c r="J34" s="29">
        <v>666</v>
      </c>
      <c r="K34" s="29">
        <v>37</v>
      </c>
      <c r="L34" s="33" t="s">
        <v>22</v>
      </c>
      <c r="M34" s="32" t="s">
        <v>22</v>
      </c>
      <c r="N34" s="29">
        <v>0</v>
      </c>
      <c r="O34" s="29">
        <v>24</v>
      </c>
      <c r="P34" s="29">
        <v>288</v>
      </c>
      <c r="Q34" s="29">
        <v>1</v>
      </c>
      <c r="R34" s="33" t="s">
        <v>22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1242</v>
      </c>
      <c r="Z34" s="29">
        <v>38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37</v>
      </c>
      <c r="J35" s="29">
        <v>333</v>
      </c>
      <c r="K35" s="29">
        <v>0</v>
      </c>
      <c r="L35" s="33" t="s">
        <v>22</v>
      </c>
      <c r="M35" s="32" t="s">
        <v>23</v>
      </c>
      <c r="N35" s="29">
        <v>69</v>
      </c>
      <c r="O35" s="29">
        <v>70</v>
      </c>
      <c r="P35" s="29">
        <v>840</v>
      </c>
      <c r="Q35" s="29">
        <v>47</v>
      </c>
      <c r="R35" s="33" t="s">
        <v>22</v>
      </c>
      <c r="S35" s="32" t="s">
        <v>23</v>
      </c>
      <c r="T35" s="29">
        <v>32</v>
      </c>
      <c r="U35" s="29">
        <v>32</v>
      </c>
      <c r="V35" s="29">
        <v>576</v>
      </c>
      <c r="W35" s="29">
        <v>16</v>
      </c>
      <c r="X35" s="33" t="s">
        <v>23</v>
      </c>
      <c r="Y35" s="29">
        <v>1749</v>
      </c>
      <c r="Z35" s="29">
        <v>63</v>
      </c>
    </row>
    <row r="36" spans="1:26" x14ac:dyDescent="0.35">
      <c r="A36" s="38" t="s">
        <v>41</v>
      </c>
      <c r="B36" s="34"/>
      <c r="F36" s="2">
        <v>34</v>
      </c>
      <c r="G36" s="32" t="s">
        <v>23</v>
      </c>
      <c r="H36" s="29">
        <v>111</v>
      </c>
      <c r="I36" s="29">
        <v>111</v>
      </c>
      <c r="J36" s="29">
        <v>999</v>
      </c>
      <c r="K36" s="29">
        <v>74</v>
      </c>
      <c r="L36" s="33" t="s">
        <v>23</v>
      </c>
      <c r="M36" s="32" t="s">
        <v>22</v>
      </c>
      <c r="N36" s="29">
        <v>0</v>
      </c>
      <c r="O36" s="29">
        <v>47</v>
      </c>
      <c r="P36" s="29">
        <v>564</v>
      </c>
      <c r="Q36" s="29">
        <v>24</v>
      </c>
      <c r="R36" s="33" t="s">
        <v>23</v>
      </c>
      <c r="S36" s="32" t="s">
        <v>22</v>
      </c>
      <c r="T36" s="29">
        <v>0</v>
      </c>
      <c r="U36" s="29">
        <v>16</v>
      </c>
      <c r="V36" s="29">
        <v>288</v>
      </c>
      <c r="W36" s="29">
        <v>0</v>
      </c>
      <c r="X36" s="33" t="s">
        <v>22</v>
      </c>
      <c r="Y36" s="29">
        <v>1851</v>
      </c>
      <c r="Z36" s="29">
        <v>98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74</v>
      </c>
      <c r="J37" s="29">
        <v>666</v>
      </c>
      <c r="K37" s="29">
        <v>37</v>
      </c>
      <c r="L37" s="33" t="s">
        <v>22</v>
      </c>
      <c r="M37" s="32" t="s">
        <v>22</v>
      </c>
      <c r="N37" s="29">
        <v>0</v>
      </c>
      <c r="O37" s="29">
        <v>24</v>
      </c>
      <c r="P37" s="29">
        <v>288</v>
      </c>
      <c r="Q37" s="29">
        <v>1</v>
      </c>
      <c r="R37" s="33" t="s">
        <v>22</v>
      </c>
      <c r="S37" s="32" t="s">
        <v>23</v>
      </c>
      <c r="T37" s="29">
        <v>32</v>
      </c>
      <c r="U37" s="29">
        <v>32</v>
      </c>
      <c r="V37" s="29">
        <v>576</v>
      </c>
      <c r="W37" s="29">
        <v>16</v>
      </c>
      <c r="X37" s="33" t="s">
        <v>23</v>
      </c>
      <c r="Y37" s="29">
        <v>1530</v>
      </c>
      <c r="Z37" s="29">
        <v>54</v>
      </c>
    </row>
    <row r="38" spans="1:26" x14ac:dyDescent="0.35">
      <c r="F38" s="2">
        <v>36</v>
      </c>
      <c r="G38" s="32" t="s">
        <v>22</v>
      </c>
      <c r="H38" s="29">
        <v>0</v>
      </c>
      <c r="I38" s="29">
        <v>37</v>
      </c>
      <c r="J38" s="29">
        <v>333</v>
      </c>
      <c r="K38" s="29">
        <v>0</v>
      </c>
      <c r="L38" s="33" t="s">
        <v>22</v>
      </c>
      <c r="M38" s="32" t="s">
        <v>23</v>
      </c>
      <c r="N38" s="29">
        <v>69</v>
      </c>
      <c r="O38" s="29">
        <v>70</v>
      </c>
      <c r="P38" s="29">
        <v>840</v>
      </c>
      <c r="Q38" s="29">
        <v>47</v>
      </c>
      <c r="R38" s="33" t="s">
        <v>22</v>
      </c>
      <c r="S38" s="32" t="s">
        <v>22</v>
      </c>
      <c r="T38" s="29">
        <v>0</v>
      </c>
      <c r="U38" s="29">
        <v>16</v>
      </c>
      <c r="V38" s="29">
        <v>288</v>
      </c>
      <c r="W38" s="29">
        <v>0</v>
      </c>
      <c r="X38" s="33" t="s">
        <v>22</v>
      </c>
      <c r="Y38" s="29">
        <v>1461</v>
      </c>
      <c r="Z38" s="29">
        <v>47</v>
      </c>
    </row>
    <row r="39" spans="1:26" x14ac:dyDescent="0.35">
      <c r="F39" s="2">
        <v>37</v>
      </c>
      <c r="G39" s="32" t="s">
        <v>23</v>
      </c>
      <c r="H39" s="29">
        <v>111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22</v>
      </c>
      <c r="N39" s="29">
        <v>0</v>
      </c>
      <c r="O39" s="29">
        <v>47</v>
      </c>
      <c r="P39" s="29">
        <v>564</v>
      </c>
      <c r="Q39" s="29">
        <v>24</v>
      </c>
      <c r="R39" s="33" t="s">
        <v>23</v>
      </c>
      <c r="S39" s="32" t="s">
        <v>23</v>
      </c>
      <c r="T39" s="29">
        <v>32</v>
      </c>
      <c r="U39" s="29">
        <v>32</v>
      </c>
      <c r="V39" s="29">
        <v>576</v>
      </c>
      <c r="W39" s="29">
        <v>16</v>
      </c>
      <c r="X39" s="33" t="s">
        <v>23</v>
      </c>
      <c r="Y39" s="29">
        <v>2139</v>
      </c>
      <c r="Z39" s="29">
        <v>114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29">
        <v>24</v>
      </c>
      <c r="P40" s="29">
        <v>288</v>
      </c>
      <c r="Q40" s="29">
        <v>1</v>
      </c>
      <c r="R40" s="33" t="s">
        <v>22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1242</v>
      </c>
      <c r="Z40" s="29">
        <v>38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23</v>
      </c>
      <c r="N41" s="29">
        <v>69</v>
      </c>
      <c r="O41" s="29">
        <v>70</v>
      </c>
      <c r="P41" s="29">
        <v>840</v>
      </c>
      <c r="Q41" s="29">
        <v>47</v>
      </c>
      <c r="R41" s="33" t="s">
        <v>22</v>
      </c>
      <c r="S41" s="32" t="s">
        <v>23</v>
      </c>
      <c r="T41" s="29">
        <v>32</v>
      </c>
      <c r="U41" s="29">
        <v>32</v>
      </c>
      <c r="V41" s="29">
        <v>576</v>
      </c>
      <c r="W41" s="29">
        <v>16</v>
      </c>
      <c r="X41" s="33" t="s">
        <v>23</v>
      </c>
      <c r="Y41" s="29">
        <v>1749</v>
      </c>
      <c r="Z41" s="29">
        <v>63</v>
      </c>
    </row>
    <row r="42" spans="1:26" x14ac:dyDescent="0.35">
      <c r="F42" s="2">
        <v>40</v>
      </c>
      <c r="G42" s="32" t="s">
        <v>23</v>
      </c>
      <c r="H42" s="29">
        <v>111</v>
      </c>
      <c r="I42" s="29">
        <v>111</v>
      </c>
      <c r="J42" s="29">
        <v>999</v>
      </c>
      <c r="K42" s="29">
        <v>74</v>
      </c>
      <c r="L42" s="33" t="s">
        <v>23</v>
      </c>
      <c r="M42" s="32" t="s">
        <v>22</v>
      </c>
      <c r="N42" s="29">
        <v>0</v>
      </c>
      <c r="O42" s="29">
        <v>47</v>
      </c>
      <c r="P42" s="29">
        <v>564</v>
      </c>
      <c r="Q42" s="29">
        <v>24</v>
      </c>
      <c r="R42" s="33" t="s">
        <v>23</v>
      </c>
      <c r="S42" s="32" t="s">
        <v>22</v>
      </c>
      <c r="T42" s="29">
        <v>0</v>
      </c>
      <c r="U42" s="29">
        <v>16</v>
      </c>
      <c r="V42" s="29">
        <v>288</v>
      </c>
      <c r="W42" s="29">
        <v>0</v>
      </c>
      <c r="X42" s="33" t="s">
        <v>22</v>
      </c>
      <c r="Y42" s="29">
        <v>1851</v>
      </c>
      <c r="Z42" s="29">
        <v>98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74</v>
      </c>
      <c r="J43" s="29">
        <v>666</v>
      </c>
      <c r="K43" s="29">
        <v>37</v>
      </c>
      <c r="L43" s="33" t="s">
        <v>22</v>
      </c>
      <c r="M43" s="32" t="s">
        <v>22</v>
      </c>
      <c r="N43" s="29">
        <v>0</v>
      </c>
      <c r="O43" s="29">
        <v>24</v>
      </c>
      <c r="P43" s="29">
        <v>288</v>
      </c>
      <c r="Q43" s="29">
        <v>1</v>
      </c>
      <c r="R43" s="33" t="s">
        <v>22</v>
      </c>
      <c r="S43" s="32" t="s">
        <v>23</v>
      </c>
      <c r="T43" s="29">
        <v>32</v>
      </c>
      <c r="U43" s="29">
        <v>32</v>
      </c>
      <c r="V43" s="29">
        <v>576</v>
      </c>
      <c r="W43" s="29">
        <v>16</v>
      </c>
      <c r="X43" s="33" t="s">
        <v>23</v>
      </c>
      <c r="Y43" s="29">
        <v>1530</v>
      </c>
      <c r="Z43" s="29">
        <v>54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37</v>
      </c>
      <c r="J44" s="29">
        <v>333</v>
      </c>
      <c r="K44" s="29">
        <v>0</v>
      </c>
      <c r="L44" s="33" t="s">
        <v>22</v>
      </c>
      <c r="M44" s="32" t="s">
        <v>23</v>
      </c>
      <c r="N44" s="29">
        <v>69</v>
      </c>
      <c r="O44" s="29">
        <v>70</v>
      </c>
      <c r="P44" s="29">
        <v>840</v>
      </c>
      <c r="Q44" s="29">
        <v>47</v>
      </c>
      <c r="R44" s="33" t="s">
        <v>22</v>
      </c>
      <c r="S44" s="32" t="s">
        <v>22</v>
      </c>
      <c r="T44" s="29">
        <v>0</v>
      </c>
      <c r="U44" s="29">
        <v>16</v>
      </c>
      <c r="V44" s="29">
        <v>288</v>
      </c>
      <c r="W44" s="29">
        <v>0</v>
      </c>
      <c r="X44" s="33" t="s">
        <v>22</v>
      </c>
      <c r="Y44" s="29">
        <v>1461</v>
      </c>
      <c r="Z44" s="29">
        <v>47</v>
      </c>
    </row>
    <row r="45" spans="1:26" x14ac:dyDescent="0.35">
      <c r="F45" s="2">
        <v>43</v>
      </c>
      <c r="G45" s="32" t="s">
        <v>23</v>
      </c>
      <c r="H45" s="29">
        <v>111</v>
      </c>
      <c r="I45" s="29">
        <v>111</v>
      </c>
      <c r="J45" s="29">
        <v>999</v>
      </c>
      <c r="K45" s="29">
        <v>74</v>
      </c>
      <c r="L45" s="33" t="s">
        <v>23</v>
      </c>
      <c r="M45" s="32" t="s">
        <v>22</v>
      </c>
      <c r="N45" s="29">
        <v>0</v>
      </c>
      <c r="O45" s="29">
        <v>47</v>
      </c>
      <c r="P45" s="29">
        <v>564</v>
      </c>
      <c r="Q45" s="29">
        <v>24</v>
      </c>
      <c r="R45" s="33" t="s">
        <v>23</v>
      </c>
      <c r="S45" s="32" t="s">
        <v>23</v>
      </c>
      <c r="T45" s="29">
        <v>32</v>
      </c>
      <c r="U45" s="29">
        <v>32</v>
      </c>
      <c r="V45" s="29">
        <v>576</v>
      </c>
      <c r="W45" s="29">
        <v>16</v>
      </c>
      <c r="X45" s="33" t="s">
        <v>23</v>
      </c>
      <c r="Y45" s="29">
        <v>2139</v>
      </c>
      <c r="Z45" s="29">
        <v>114</v>
      </c>
    </row>
    <row r="46" spans="1:26" x14ac:dyDescent="0.35">
      <c r="F46" s="2">
        <v>44</v>
      </c>
      <c r="G46" s="32" t="s">
        <v>22</v>
      </c>
      <c r="H46" s="29">
        <v>0</v>
      </c>
      <c r="I46" s="29">
        <v>74</v>
      </c>
      <c r="J46" s="29">
        <v>666</v>
      </c>
      <c r="K46" s="29">
        <v>37</v>
      </c>
      <c r="L46" s="33" t="s">
        <v>22</v>
      </c>
      <c r="M46" s="32" t="s">
        <v>22</v>
      </c>
      <c r="N46" s="29">
        <v>0</v>
      </c>
      <c r="O46" s="29">
        <v>24</v>
      </c>
      <c r="P46" s="29">
        <v>288</v>
      </c>
      <c r="Q46" s="29">
        <v>1</v>
      </c>
      <c r="R46" s="33" t="s">
        <v>22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1242</v>
      </c>
      <c r="Z46" s="29">
        <v>38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37</v>
      </c>
      <c r="J47" s="29">
        <v>333</v>
      </c>
      <c r="K47" s="29">
        <v>0</v>
      </c>
      <c r="L47" s="33" t="s">
        <v>22</v>
      </c>
      <c r="M47" s="32" t="s">
        <v>23</v>
      </c>
      <c r="N47" s="29">
        <v>69</v>
      </c>
      <c r="O47" s="29">
        <v>70</v>
      </c>
      <c r="P47" s="29">
        <v>840</v>
      </c>
      <c r="Q47" s="29">
        <v>47</v>
      </c>
      <c r="R47" s="33" t="s">
        <v>22</v>
      </c>
      <c r="S47" s="32" t="s">
        <v>23</v>
      </c>
      <c r="T47" s="29">
        <v>32</v>
      </c>
      <c r="U47" s="29">
        <v>32</v>
      </c>
      <c r="V47" s="29">
        <v>576</v>
      </c>
      <c r="W47" s="29">
        <v>16</v>
      </c>
      <c r="X47" s="33" t="s">
        <v>23</v>
      </c>
      <c r="Y47" s="29">
        <v>1749</v>
      </c>
      <c r="Z47" s="29">
        <v>63</v>
      </c>
    </row>
    <row r="48" spans="1:26" x14ac:dyDescent="0.35">
      <c r="F48" s="2">
        <v>46</v>
      </c>
      <c r="G48" s="32" t="s">
        <v>23</v>
      </c>
      <c r="H48" s="29">
        <v>111</v>
      </c>
      <c r="I48" s="29">
        <v>111</v>
      </c>
      <c r="J48" s="29">
        <v>999</v>
      </c>
      <c r="K48" s="29">
        <v>74</v>
      </c>
      <c r="L48" s="33" t="s">
        <v>23</v>
      </c>
      <c r="M48" s="32" t="s">
        <v>22</v>
      </c>
      <c r="N48" s="29">
        <v>0</v>
      </c>
      <c r="O48" s="29">
        <v>47</v>
      </c>
      <c r="P48" s="29">
        <v>564</v>
      </c>
      <c r="Q48" s="29">
        <v>24</v>
      </c>
      <c r="R48" s="33" t="s">
        <v>23</v>
      </c>
      <c r="S48" s="32" t="s">
        <v>22</v>
      </c>
      <c r="T48" s="29">
        <v>0</v>
      </c>
      <c r="U48" s="29">
        <v>16</v>
      </c>
      <c r="V48" s="29">
        <v>288</v>
      </c>
      <c r="W48" s="29">
        <v>0</v>
      </c>
      <c r="X48" s="33" t="s">
        <v>22</v>
      </c>
      <c r="Y48" s="29">
        <v>1851</v>
      </c>
      <c r="Z48" s="29">
        <v>98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74</v>
      </c>
      <c r="J49" s="29">
        <v>666</v>
      </c>
      <c r="K49" s="29">
        <v>37</v>
      </c>
      <c r="L49" s="33" t="s">
        <v>22</v>
      </c>
      <c r="M49" s="32" t="s">
        <v>22</v>
      </c>
      <c r="N49" s="29">
        <v>0</v>
      </c>
      <c r="O49" s="29">
        <v>24</v>
      </c>
      <c r="P49" s="29">
        <v>288</v>
      </c>
      <c r="Q49" s="29">
        <v>1</v>
      </c>
      <c r="R49" s="33" t="s">
        <v>22</v>
      </c>
      <c r="S49" s="32" t="s">
        <v>23</v>
      </c>
      <c r="T49" s="29">
        <v>32</v>
      </c>
      <c r="U49" s="29">
        <v>32</v>
      </c>
      <c r="V49" s="29">
        <v>576</v>
      </c>
      <c r="W49" s="29">
        <v>16</v>
      </c>
      <c r="X49" s="33" t="s">
        <v>23</v>
      </c>
      <c r="Y49" s="29">
        <v>1530</v>
      </c>
      <c r="Z49" s="29">
        <v>54</v>
      </c>
    </row>
    <row r="50" spans="6:26" x14ac:dyDescent="0.35">
      <c r="F50" s="2">
        <v>48</v>
      </c>
      <c r="G50" s="32" t="s">
        <v>22</v>
      </c>
      <c r="H50" s="29">
        <v>0</v>
      </c>
      <c r="I50" s="29">
        <v>37</v>
      </c>
      <c r="J50" s="29">
        <v>333</v>
      </c>
      <c r="K50" s="29">
        <v>0</v>
      </c>
      <c r="L50" s="33" t="s">
        <v>22</v>
      </c>
      <c r="M50" s="32" t="s">
        <v>23</v>
      </c>
      <c r="N50" s="29">
        <v>69</v>
      </c>
      <c r="O50" s="29">
        <v>70</v>
      </c>
      <c r="P50" s="29">
        <v>840</v>
      </c>
      <c r="Q50" s="29">
        <v>47</v>
      </c>
      <c r="R50" s="33" t="s">
        <v>22</v>
      </c>
      <c r="S50" s="32" t="s">
        <v>22</v>
      </c>
      <c r="T50" s="29">
        <v>0</v>
      </c>
      <c r="U50" s="29">
        <v>16</v>
      </c>
      <c r="V50" s="29">
        <v>288</v>
      </c>
      <c r="W50" s="29">
        <v>0</v>
      </c>
      <c r="X50" s="33" t="s">
        <v>22</v>
      </c>
      <c r="Y50" s="29">
        <v>1461</v>
      </c>
      <c r="Z50" s="29">
        <v>47</v>
      </c>
    </row>
    <row r="51" spans="6:26" x14ac:dyDescent="0.35">
      <c r="F51" s="2">
        <v>49</v>
      </c>
      <c r="G51" s="32" t="s">
        <v>23</v>
      </c>
      <c r="H51" s="29">
        <v>111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22</v>
      </c>
      <c r="N51" s="29">
        <v>0</v>
      </c>
      <c r="O51" s="29">
        <v>47</v>
      </c>
      <c r="P51" s="29">
        <v>564</v>
      </c>
      <c r="Q51" s="29">
        <v>24</v>
      </c>
      <c r="R51" s="33" t="s">
        <v>23</v>
      </c>
      <c r="S51" s="32" t="s">
        <v>23</v>
      </c>
      <c r="T51" s="29">
        <v>32</v>
      </c>
      <c r="U51" s="29">
        <v>32</v>
      </c>
      <c r="V51" s="29">
        <v>576</v>
      </c>
      <c r="W51" s="29">
        <v>16</v>
      </c>
      <c r="X51" s="33" t="s">
        <v>23</v>
      </c>
      <c r="Y51" s="29">
        <v>2139</v>
      </c>
      <c r="Z51" s="29">
        <v>114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29">
        <v>24</v>
      </c>
      <c r="P52" s="29">
        <v>288</v>
      </c>
      <c r="Q52" s="29">
        <v>1</v>
      </c>
      <c r="R52" s="33" t="s">
        <v>22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1242</v>
      </c>
      <c r="Z52" s="29">
        <v>38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AD293-D371-4855-BAFE-AF19FF9A94D7}">
  <sheetPr codeName="Sheet3"/>
  <dimension ref="A1:Z53"/>
  <sheetViews>
    <sheetView topLeftCell="A14" zoomScale="90" zoomScaleNormal="90" workbookViewId="0">
      <selection activeCell="C27" sqref="C27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111</v>
      </c>
      <c r="C3" s="16">
        <v>92</v>
      </c>
      <c r="D3" s="16">
        <v>32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23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24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22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23</v>
      </c>
      <c r="N5" s="29">
        <v>92</v>
      </c>
      <c r="O5" s="29">
        <v>93</v>
      </c>
      <c r="P5" s="29">
        <v>1116</v>
      </c>
      <c r="Q5" s="29">
        <v>70</v>
      </c>
      <c r="R5" s="33" t="s">
        <v>22</v>
      </c>
      <c r="S5" s="32" t="s">
        <v>23</v>
      </c>
      <c r="T5" s="29">
        <v>32</v>
      </c>
      <c r="U5" s="29">
        <v>32</v>
      </c>
      <c r="V5" s="29">
        <v>576</v>
      </c>
      <c r="W5" s="29">
        <v>16</v>
      </c>
      <c r="X5" s="33" t="s">
        <v>23</v>
      </c>
      <c r="Y5" s="29">
        <v>2025</v>
      </c>
      <c r="Z5" s="29">
        <v>86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111</v>
      </c>
      <c r="I6" s="29">
        <v>111</v>
      </c>
      <c r="J6" s="29">
        <v>999</v>
      </c>
      <c r="K6" s="29">
        <v>74</v>
      </c>
      <c r="L6" s="33" t="s">
        <v>23</v>
      </c>
      <c r="M6" s="32" t="s">
        <v>22</v>
      </c>
      <c r="N6" s="29">
        <v>0</v>
      </c>
      <c r="O6" s="29">
        <v>70</v>
      </c>
      <c r="P6" s="29">
        <v>840</v>
      </c>
      <c r="Q6" s="29">
        <v>47</v>
      </c>
      <c r="R6" s="33" t="s">
        <v>22</v>
      </c>
      <c r="S6" s="32" t="s">
        <v>22</v>
      </c>
      <c r="T6" s="29">
        <v>0</v>
      </c>
      <c r="U6" s="29">
        <v>16</v>
      </c>
      <c r="V6" s="29">
        <v>288</v>
      </c>
      <c r="W6" s="29">
        <v>0</v>
      </c>
      <c r="X6" s="33" t="s">
        <v>22</v>
      </c>
      <c r="Y6" s="29">
        <v>2127</v>
      </c>
      <c r="Z6" s="29">
        <v>121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74</v>
      </c>
      <c r="J7" s="29">
        <v>666</v>
      </c>
      <c r="K7" s="29">
        <v>37</v>
      </c>
      <c r="L7" s="33" t="s">
        <v>22</v>
      </c>
      <c r="M7" s="32" t="s">
        <v>22</v>
      </c>
      <c r="N7" s="29">
        <v>0</v>
      </c>
      <c r="O7" s="29">
        <v>47</v>
      </c>
      <c r="P7" s="29">
        <v>564</v>
      </c>
      <c r="Q7" s="29">
        <v>24</v>
      </c>
      <c r="R7" s="33" t="s">
        <v>23</v>
      </c>
      <c r="S7" s="32" t="s">
        <v>23</v>
      </c>
      <c r="T7" s="29">
        <v>32</v>
      </c>
      <c r="U7" s="29">
        <v>32</v>
      </c>
      <c r="V7" s="29">
        <v>576</v>
      </c>
      <c r="W7" s="29">
        <v>16</v>
      </c>
      <c r="X7" s="33" t="s">
        <v>23</v>
      </c>
      <c r="Y7" s="29">
        <v>1806</v>
      </c>
      <c r="Z7" s="29">
        <v>77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37</v>
      </c>
      <c r="J8" s="29">
        <v>333</v>
      </c>
      <c r="K8" s="29">
        <v>0</v>
      </c>
      <c r="L8" s="33" t="s">
        <v>22</v>
      </c>
      <c r="M8" s="32" t="s">
        <v>22</v>
      </c>
      <c r="N8" s="29">
        <v>0</v>
      </c>
      <c r="O8" s="29">
        <v>24</v>
      </c>
      <c r="P8" s="29">
        <v>288</v>
      </c>
      <c r="Q8" s="29">
        <v>1</v>
      </c>
      <c r="R8" s="33" t="s">
        <v>22</v>
      </c>
      <c r="S8" s="32" t="s">
        <v>22</v>
      </c>
      <c r="T8" s="29">
        <v>0</v>
      </c>
      <c r="U8" s="29">
        <v>16</v>
      </c>
      <c r="V8" s="29">
        <v>288</v>
      </c>
      <c r="W8" s="29">
        <v>0</v>
      </c>
      <c r="X8" s="33" t="s">
        <v>22</v>
      </c>
      <c r="Y8" s="29">
        <v>909</v>
      </c>
      <c r="Z8" s="29">
        <v>1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17">
        <v>7</v>
      </c>
      <c r="G9" s="43" t="s">
        <v>23</v>
      </c>
      <c r="H9" s="41">
        <v>111</v>
      </c>
      <c r="I9" s="41">
        <v>111</v>
      </c>
      <c r="J9" s="41">
        <v>999</v>
      </c>
      <c r="K9" s="41">
        <v>74</v>
      </c>
      <c r="L9" s="44" t="s">
        <v>23</v>
      </c>
      <c r="M9" s="43" t="s">
        <v>23</v>
      </c>
      <c r="N9" s="41">
        <v>92</v>
      </c>
      <c r="O9" s="41">
        <v>93</v>
      </c>
      <c r="P9" s="41">
        <v>1116</v>
      </c>
      <c r="Q9" s="41">
        <v>70</v>
      </c>
      <c r="R9" s="44" t="s">
        <v>22</v>
      </c>
      <c r="S9" s="43" t="s">
        <v>23</v>
      </c>
      <c r="T9" s="41">
        <v>32</v>
      </c>
      <c r="U9" s="41">
        <v>32</v>
      </c>
      <c r="V9" s="41">
        <v>576</v>
      </c>
      <c r="W9" s="41">
        <v>16</v>
      </c>
      <c r="X9" s="44" t="s">
        <v>23</v>
      </c>
      <c r="Y9" s="41">
        <v>2691</v>
      </c>
      <c r="Z9" s="29">
        <v>160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29">
        <v>74</v>
      </c>
      <c r="J10" s="29">
        <v>666</v>
      </c>
      <c r="K10" s="29">
        <v>37</v>
      </c>
      <c r="L10" s="33" t="s">
        <v>22</v>
      </c>
      <c r="M10" s="32" t="s">
        <v>22</v>
      </c>
      <c r="N10" s="29">
        <v>0</v>
      </c>
      <c r="O10" s="29">
        <v>70</v>
      </c>
      <c r="P10" s="29">
        <v>840</v>
      </c>
      <c r="Q10" s="29">
        <v>47</v>
      </c>
      <c r="R10" s="33" t="s">
        <v>22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1794</v>
      </c>
      <c r="Z10" s="29">
        <v>84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37</v>
      </c>
      <c r="J11" s="29">
        <v>333</v>
      </c>
      <c r="K11" s="29">
        <v>0</v>
      </c>
      <c r="L11" s="33" t="s">
        <v>22</v>
      </c>
      <c r="M11" s="32" t="s">
        <v>22</v>
      </c>
      <c r="N11" s="29">
        <v>0</v>
      </c>
      <c r="O11" s="29">
        <v>47</v>
      </c>
      <c r="P11" s="29">
        <v>564</v>
      </c>
      <c r="Q11" s="29">
        <v>24</v>
      </c>
      <c r="R11" s="33" t="s">
        <v>23</v>
      </c>
      <c r="S11" s="32" t="s">
        <v>23</v>
      </c>
      <c r="T11" s="29">
        <v>32</v>
      </c>
      <c r="U11" s="29">
        <v>32</v>
      </c>
      <c r="V11" s="29">
        <v>576</v>
      </c>
      <c r="W11" s="29">
        <v>16</v>
      </c>
      <c r="X11" s="33" t="s">
        <v>23</v>
      </c>
      <c r="Y11" s="29">
        <v>1473</v>
      </c>
      <c r="Z11" s="29">
        <v>40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23</v>
      </c>
      <c r="H12" s="29">
        <v>111</v>
      </c>
      <c r="I12" s="29">
        <v>111</v>
      </c>
      <c r="J12" s="29">
        <v>999</v>
      </c>
      <c r="K12" s="29">
        <v>74</v>
      </c>
      <c r="L12" s="33" t="s">
        <v>23</v>
      </c>
      <c r="M12" s="32" t="s">
        <v>22</v>
      </c>
      <c r="N12" s="29">
        <v>0</v>
      </c>
      <c r="O12" s="29">
        <v>24</v>
      </c>
      <c r="P12" s="29">
        <v>288</v>
      </c>
      <c r="Q12" s="29">
        <v>1</v>
      </c>
      <c r="R12" s="33" t="s">
        <v>22</v>
      </c>
      <c r="S12" s="32" t="s">
        <v>22</v>
      </c>
      <c r="T12" s="29">
        <v>0</v>
      </c>
      <c r="U12" s="29">
        <v>16</v>
      </c>
      <c r="V12" s="29">
        <v>288</v>
      </c>
      <c r="W12" s="29">
        <v>0</v>
      </c>
      <c r="X12" s="33" t="s">
        <v>22</v>
      </c>
      <c r="Y12" s="29">
        <v>1575</v>
      </c>
      <c r="Z12" s="29">
        <v>75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74</v>
      </c>
      <c r="J13" s="29">
        <v>666</v>
      </c>
      <c r="K13" s="29">
        <v>37</v>
      </c>
      <c r="L13" s="33" t="s">
        <v>22</v>
      </c>
      <c r="M13" s="32" t="s">
        <v>23</v>
      </c>
      <c r="N13" s="29">
        <v>92</v>
      </c>
      <c r="O13" s="29">
        <v>93</v>
      </c>
      <c r="P13" s="29">
        <v>1116</v>
      </c>
      <c r="Q13" s="29">
        <v>70</v>
      </c>
      <c r="R13" s="33" t="s">
        <v>22</v>
      </c>
      <c r="S13" s="32" t="s">
        <v>23</v>
      </c>
      <c r="T13" s="29">
        <v>32</v>
      </c>
      <c r="U13" s="29">
        <v>32</v>
      </c>
      <c r="V13" s="29">
        <v>576</v>
      </c>
      <c r="W13" s="29">
        <v>16</v>
      </c>
      <c r="X13" s="33" t="s">
        <v>23</v>
      </c>
      <c r="Y13" s="29">
        <v>2358</v>
      </c>
      <c r="Z13" s="29">
        <v>123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29">
        <v>37</v>
      </c>
      <c r="J14" s="29">
        <v>333</v>
      </c>
      <c r="K14" s="29">
        <v>0</v>
      </c>
      <c r="L14" s="33" t="s">
        <v>22</v>
      </c>
      <c r="M14" s="32" t="s">
        <v>22</v>
      </c>
      <c r="N14" s="29">
        <v>0</v>
      </c>
      <c r="O14" s="29">
        <v>70</v>
      </c>
      <c r="P14" s="29">
        <v>840</v>
      </c>
      <c r="Q14" s="29">
        <v>47</v>
      </c>
      <c r="R14" s="33" t="s">
        <v>22</v>
      </c>
      <c r="S14" s="32" t="s">
        <v>22</v>
      </c>
      <c r="T14" s="29">
        <v>0</v>
      </c>
      <c r="U14" s="29">
        <v>16</v>
      </c>
      <c r="V14" s="29">
        <v>288</v>
      </c>
      <c r="W14" s="29">
        <v>0</v>
      </c>
      <c r="X14" s="33" t="s">
        <v>22</v>
      </c>
      <c r="Y14" s="29">
        <v>1461</v>
      </c>
      <c r="Z14" s="29">
        <v>47</v>
      </c>
    </row>
    <row r="15" spans="1:26" ht="15" thickBot="1" x14ac:dyDescent="0.4">
      <c r="A15" s="19" t="s">
        <v>28</v>
      </c>
      <c r="B15" s="26">
        <v>1776</v>
      </c>
      <c r="C15" s="26">
        <v>1104</v>
      </c>
      <c r="D15" s="26">
        <v>768</v>
      </c>
      <c r="E15" s="37">
        <v>3648</v>
      </c>
      <c r="F15" s="2">
        <v>13</v>
      </c>
      <c r="G15" s="32" t="s">
        <v>23</v>
      </c>
      <c r="H15" s="29">
        <v>111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22</v>
      </c>
      <c r="N15" s="29">
        <v>0</v>
      </c>
      <c r="O15" s="29">
        <v>47</v>
      </c>
      <c r="P15" s="29">
        <v>564</v>
      </c>
      <c r="Q15" s="29">
        <v>24</v>
      </c>
      <c r="R15" s="33" t="s">
        <v>23</v>
      </c>
      <c r="S15" s="32" t="s">
        <v>23</v>
      </c>
      <c r="T15" s="29">
        <v>32</v>
      </c>
      <c r="U15" s="29">
        <v>32</v>
      </c>
      <c r="V15" s="29">
        <v>576</v>
      </c>
      <c r="W15" s="29">
        <v>16</v>
      </c>
      <c r="X15" s="33" t="s">
        <v>23</v>
      </c>
      <c r="Y15" s="29">
        <v>2139</v>
      </c>
      <c r="Z15" s="29">
        <v>114</v>
      </c>
    </row>
    <row r="16" spans="1:26" ht="15" thickBot="1" x14ac:dyDescent="0.4">
      <c r="A16" s="18" t="s">
        <v>27</v>
      </c>
      <c r="B16" s="27">
        <v>16</v>
      </c>
      <c r="C16" s="27">
        <v>12</v>
      </c>
      <c r="D16" s="28">
        <v>24</v>
      </c>
      <c r="E16" s="37">
        <v>52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29">
        <v>24</v>
      </c>
      <c r="P16" s="29">
        <v>288</v>
      </c>
      <c r="Q16" s="29">
        <v>1</v>
      </c>
      <c r="R16" s="33" t="s">
        <v>22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1242</v>
      </c>
      <c r="Z16" s="29">
        <v>38</v>
      </c>
    </row>
    <row r="17" spans="1:26" ht="15" thickBot="1" x14ac:dyDescent="0.4">
      <c r="A17" s="11" t="s">
        <v>24</v>
      </c>
      <c r="B17" s="24">
        <v>1600</v>
      </c>
      <c r="C17" s="24">
        <v>1800</v>
      </c>
      <c r="D17" s="24">
        <v>1200</v>
      </c>
      <c r="E17" s="25">
        <v>4600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23</v>
      </c>
      <c r="N17" s="29">
        <v>92</v>
      </c>
      <c r="O17" s="29">
        <v>93</v>
      </c>
      <c r="P17" s="29">
        <v>1116</v>
      </c>
      <c r="Q17" s="29">
        <v>70</v>
      </c>
      <c r="R17" s="33" t="s">
        <v>22</v>
      </c>
      <c r="S17" s="32" t="s">
        <v>23</v>
      </c>
      <c r="T17" s="29">
        <v>32</v>
      </c>
      <c r="U17" s="29">
        <v>32</v>
      </c>
      <c r="V17" s="29">
        <v>576</v>
      </c>
      <c r="W17" s="29">
        <v>16</v>
      </c>
      <c r="X17" s="33" t="s">
        <v>23</v>
      </c>
      <c r="Y17" s="29">
        <v>2025</v>
      </c>
      <c r="Z17" s="29">
        <v>86</v>
      </c>
    </row>
    <row r="18" spans="1:26" ht="15" thickBot="1" x14ac:dyDescent="0.4">
      <c r="A18" s="11" t="s">
        <v>29</v>
      </c>
      <c r="B18" s="24">
        <v>88800</v>
      </c>
      <c r="C18" s="24">
        <v>386400</v>
      </c>
      <c r="D18" s="24">
        <v>65280</v>
      </c>
      <c r="E18" s="25">
        <v>540480</v>
      </c>
      <c r="F18" s="2">
        <v>16</v>
      </c>
      <c r="G18" s="32" t="s">
        <v>23</v>
      </c>
      <c r="H18" s="29">
        <v>111</v>
      </c>
      <c r="I18" s="29">
        <v>111</v>
      </c>
      <c r="J18" s="29">
        <v>999</v>
      </c>
      <c r="K18" s="29">
        <v>74</v>
      </c>
      <c r="L18" s="33" t="s">
        <v>23</v>
      </c>
      <c r="M18" s="32" t="s">
        <v>22</v>
      </c>
      <c r="N18" s="29">
        <v>0</v>
      </c>
      <c r="O18" s="29">
        <v>70</v>
      </c>
      <c r="P18" s="29">
        <v>840</v>
      </c>
      <c r="Q18" s="29">
        <v>47</v>
      </c>
      <c r="R18" s="33" t="s">
        <v>22</v>
      </c>
      <c r="S18" s="32" t="s">
        <v>22</v>
      </c>
      <c r="T18" s="29">
        <v>0</v>
      </c>
      <c r="U18" s="29">
        <v>16</v>
      </c>
      <c r="V18" s="29">
        <v>288</v>
      </c>
      <c r="W18" s="29">
        <v>0</v>
      </c>
      <c r="X18" s="33" t="s">
        <v>22</v>
      </c>
      <c r="Y18" s="29">
        <v>2127</v>
      </c>
      <c r="Z18" s="29">
        <v>121</v>
      </c>
    </row>
    <row r="19" spans="1:26" ht="15" thickBot="1" x14ac:dyDescent="0.4">
      <c r="A19" s="20" t="s">
        <v>30</v>
      </c>
      <c r="B19" s="25">
        <v>471.75</v>
      </c>
      <c r="C19" s="25">
        <v>3025.75</v>
      </c>
      <c r="D19" s="25">
        <v>170.00000000000003</v>
      </c>
      <c r="E19" s="25">
        <v>3667.5</v>
      </c>
      <c r="F19" s="2">
        <v>17</v>
      </c>
      <c r="G19" s="32" t="s">
        <v>22</v>
      </c>
      <c r="H19" s="29">
        <v>0</v>
      </c>
      <c r="I19" s="29">
        <v>74</v>
      </c>
      <c r="J19" s="29">
        <v>666</v>
      </c>
      <c r="K19" s="29">
        <v>37</v>
      </c>
      <c r="L19" s="33" t="s">
        <v>22</v>
      </c>
      <c r="M19" s="32" t="s">
        <v>22</v>
      </c>
      <c r="N19" s="29">
        <v>0</v>
      </c>
      <c r="O19" s="29">
        <v>47</v>
      </c>
      <c r="P19" s="29">
        <v>564</v>
      </c>
      <c r="Q19" s="29">
        <v>24</v>
      </c>
      <c r="R19" s="33" t="s">
        <v>23</v>
      </c>
      <c r="S19" s="32" t="s">
        <v>23</v>
      </c>
      <c r="T19" s="29">
        <v>32</v>
      </c>
      <c r="U19" s="29">
        <v>32</v>
      </c>
      <c r="V19" s="29">
        <v>576</v>
      </c>
      <c r="W19" s="29">
        <v>16</v>
      </c>
      <c r="X19" s="33" t="s">
        <v>23</v>
      </c>
      <c r="Y19" s="29">
        <v>1806</v>
      </c>
      <c r="Z19" s="29">
        <v>77</v>
      </c>
    </row>
    <row r="20" spans="1:26" ht="15" thickBot="1" x14ac:dyDescent="0.4">
      <c r="A20" s="23" t="s">
        <v>32</v>
      </c>
      <c r="B20" s="67">
        <v>4016</v>
      </c>
      <c r="C20" s="68"/>
      <c r="D20" s="69"/>
      <c r="F20" s="2">
        <v>18</v>
      </c>
      <c r="G20" s="32" t="s">
        <v>22</v>
      </c>
      <c r="H20" s="29">
        <v>0</v>
      </c>
      <c r="I20" s="29">
        <v>37</v>
      </c>
      <c r="J20" s="29">
        <v>333</v>
      </c>
      <c r="K20" s="29">
        <v>0</v>
      </c>
      <c r="L20" s="33" t="s">
        <v>22</v>
      </c>
      <c r="M20" s="32" t="s">
        <v>22</v>
      </c>
      <c r="N20" s="29">
        <v>0</v>
      </c>
      <c r="O20" s="29">
        <v>24</v>
      </c>
      <c r="P20" s="29">
        <v>288</v>
      </c>
      <c r="Q20" s="29">
        <v>1</v>
      </c>
      <c r="R20" s="33" t="s">
        <v>22</v>
      </c>
      <c r="S20" s="32" t="s">
        <v>22</v>
      </c>
      <c r="T20" s="29">
        <v>0</v>
      </c>
      <c r="U20" s="29">
        <v>16</v>
      </c>
      <c r="V20" s="29">
        <v>288</v>
      </c>
      <c r="W20" s="29">
        <v>0</v>
      </c>
      <c r="X20" s="33" t="s">
        <v>22</v>
      </c>
      <c r="Y20" s="29">
        <v>909</v>
      </c>
      <c r="Z20" s="29">
        <v>1</v>
      </c>
    </row>
    <row r="21" spans="1:26" ht="15" thickBot="1" x14ac:dyDescent="0.4">
      <c r="A21" s="21" t="s">
        <v>25</v>
      </c>
      <c r="B21" s="63">
        <v>548747.5</v>
      </c>
      <c r="C21" s="64"/>
      <c r="D21" s="65"/>
      <c r="F21" s="17">
        <v>19</v>
      </c>
      <c r="G21" s="43" t="s">
        <v>23</v>
      </c>
      <c r="H21" s="41">
        <v>111</v>
      </c>
      <c r="I21" s="41">
        <v>111</v>
      </c>
      <c r="J21" s="41">
        <v>999</v>
      </c>
      <c r="K21" s="41">
        <v>74</v>
      </c>
      <c r="L21" s="44" t="s">
        <v>23</v>
      </c>
      <c r="M21" s="43" t="s">
        <v>23</v>
      </c>
      <c r="N21" s="41">
        <v>92</v>
      </c>
      <c r="O21" s="41">
        <v>93</v>
      </c>
      <c r="P21" s="41">
        <v>1116</v>
      </c>
      <c r="Q21" s="41">
        <v>70</v>
      </c>
      <c r="R21" s="44" t="s">
        <v>22</v>
      </c>
      <c r="S21" s="43" t="s">
        <v>23</v>
      </c>
      <c r="T21" s="41">
        <v>32</v>
      </c>
      <c r="U21" s="41">
        <v>32</v>
      </c>
      <c r="V21" s="41">
        <v>576</v>
      </c>
      <c r="W21" s="41">
        <v>16</v>
      </c>
      <c r="X21" s="44" t="s">
        <v>23</v>
      </c>
      <c r="Y21" s="41">
        <v>2691</v>
      </c>
      <c r="Z21" s="29">
        <v>160</v>
      </c>
    </row>
    <row r="22" spans="1:26" ht="15" thickBot="1" x14ac:dyDescent="0.4">
      <c r="A22" s="22" t="s">
        <v>20</v>
      </c>
      <c r="B22" s="54">
        <v>4</v>
      </c>
      <c r="C22" s="55"/>
      <c r="D22" s="56"/>
      <c r="F22" s="2">
        <v>20</v>
      </c>
      <c r="G22" s="32" t="s">
        <v>22</v>
      </c>
      <c r="H22" s="29">
        <v>0</v>
      </c>
      <c r="I22" s="29">
        <v>74</v>
      </c>
      <c r="J22" s="29">
        <v>666</v>
      </c>
      <c r="K22" s="29">
        <v>37</v>
      </c>
      <c r="L22" s="33" t="s">
        <v>22</v>
      </c>
      <c r="M22" s="32" t="s">
        <v>22</v>
      </c>
      <c r="N22" s="29">
        <v>0</v>
      </c>
      <c r="O22" s="29">
        <v>70</v>
      </c>
      <c r="P22" s="29">
        <v>840</v>
      </c>
      <c r="Q22" s="29">
        <v>47</v>
      </c>
      <c r="R22" s="33" t="s">
        <v>22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1794</v>
      </c>
      <c r="Z22" s="29">
        <v>84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37</v>
      </c>
      <c r="J23" s="29">
        <v>333</v>
      </c>
      <c r="K23" s="29">
        <v>0</v>
      </c>
      <c r="L23" s="33" t="s">
        <v>22</v>
      </c>
      <c r="M23" s="32" t="s">
        <v>22</v>
      </c>
      <c r="N23" s="29">
        <v>0</v>
      </c>
      <c r="O23" s="29">
        <v>47</v>
      </c>
      <c r="P23" s="29">
        <v>564</v>
      </c>
      <c r="Q23" s="29">
        <v>24</v>
      </c>
      <c r="R23" s="33" t="s">
        <v>23</v>
      </c>
      <c r="S23" s="32" t="s">
        <v>23</v>
      </c>
      <c r="T23" s="29">
        <v>32</v>
      </c>
      <c r="U23" s="29">
        <v>32</v>
      </c>
      <c r="V23" s="29">
        <v>576</v>
      </c>
      <c r="W23" s="29">
        <v>16</v>
      </c>
      <c r="X23" s="33" t="s">
        <v>23</v>
      </c>
      <c r="Y23" s="29">
        <v>1473</v>
      </c>
      <c r="Z23" s="29">
        <v>40</v>
      </c>
    </row>
    <row r="24" spans="1:26" x14ac:dyDescent="0.35">
      <c r="A24" s="38" t="s">
        <v>9</v>
      </c>
      <c r="B24" s="30" t="s">
        <v>42</v>
      </c>
      <c r="C24" s="30" t="s">
        <v>43</v>
      </c>
      <c r="D24" s="30" t="s">
        <v>47</v>
      </c>
      <c r="F24" s="2">
        <v>22</v>
      </c>
      <c r="G24" s="32" t="s">
        <v>23</v>
      </c>
      <c r="H24" s="29">
        <v>111</v>
      </c>
      <c r="I24" s="29">
        <v>111</v>
      </c>
      <c r="J24" s="29">
        <v>999</v>
      </c>
      <c r="K24" s="29">
        <v>74</v>
      </c>
      <c r="L24" s="33" t="s">
        <v>23</v>
      </c>
      <c r="M24" s="32" t="s">
        <v>22</v>
      </c>
      <c r="N24" s="29">
        <v>0</v>
      </c>
      <c r="O24" s="29">
        <v>24</v>
      </c>
      <c r="P24" s="29">
        <v>288</v>
      </c>
      <c r="Q24" s="29">
        <v>1</v>
      </c>
      <c r="R24" s="33" t="s">
        <v>22</v>
      </c>
      <c r="S24" s="32" t="s">
        <v>22</v>
      </c>
      <c r="T24" s="29">
        <v>0</v>
      </c>
      <c r="U24" s="29">
        <v>16</v>
      </c>
      <c r="V24" s="29">
        <v>288</v>
      </c>
      <c r="W24" s="29">
        <v>0</v>
      </c>
      <c r="X24" s="33" t="s">
        <v>22</v>
      </c>
      <c r="Y24" s="29">
        <v>1575</v>
      </c>
      <c r="Z24" s="29">
        <v>75</v>
      </c>
    </row>
    <row r="25" spans="1:26" x14ac:dyDescent="0.35">
      <c r="A25" s="38" t="s">
        <v>44</v>
      </c>
      <c r="B25" s="29" t="s">
        <v>48</v>
      </c>
      <c r="C25" s="29" t="s">
        <v>50</v>
      </c>
      <c r="D25" s="29" t="s">
        <v>48</v>
      </c>
      <c r="F25" s="2">
        <v>23</v>
      </c>
      <c r="G25" s="32" t="s">
        <v>22</v>
      </c>
      <c r="H25" s="29">
        <v>0</v>
      </c>
      <c r="I25" s="29">
        <v>74</v>
      </c>
      <c r="J25" s="29">
        <v>666</v>
      </c>
      <c r="K25" s="29">
        <v>37</v>
      </c>
      <c r="L25" s="33" t="s">
        <v>22</v>
      </c>
      <c r="M25" s="32" t="s">
        <v>23</v>
      </c>
      <c r="N25" s="29">
        <v>92</v>
      </c>
      <c r="O25" s="29">
        <v>93</v>
      </c>
      <c r="P25" s="29">
        <v>1116</v>
      </c>
      <c r="Q25" s="29">
        <v>70</v>
      </c>
      <c r="R25" s="33" t="s">
        <v>22</v>
      </c>
      <c r="S25" s="32" t="s">
        <v>23</v>
      </c>
      <c r="T25" s="29">
        <v>32</v>
      </c>
      <c r="U25" s="29">
        <v>32</v>
      </c>
      <c r="V25" s="29">
        <v>576</v>
      </c>
      <c r="W25" s="29">
        <v>16</v>
      </c>
      <c r="X25" s="33" t="s">
        <v>23</v>
      </c>
      <c r="Y25" s="29">
        <v>2358</v>
      </c>
      <c r="Z25" s="29">
        <v>123</v>
      </c>
    </row>
    <row r="26" spans="1:26" x14ac:dyDescent="0.35">
      <c r="A26" s="38"/>
      <c r="F26" s="2">
        <v>24</v>
      </c>
      <c r="G26" s="32" t="s">
        <v>22</v>
      </c>
      <c r="H26" s="29">
        <v>0</v>
      </c>
      <c r="I26" s="29">
        <v>37</v>
      </c>
      <c r="J26" s="29">
        <v>333</v>
      </c>
      <c r="K26" s="29">
        <v>0</v>
      </c>
      <c r="L26" s="33" t="s">
        <v>22</v>
      </c>
      <c r="M26" s="32" t="s">
        <v>22</v>
      </c>
      <c r="N26" s="29">
        <v>0</v>
      </c>
      <c r="O26" s="29">
        <v>70</v>
      </c>
      <c r="P26" s="29">
        <v>840</v>
      </c>
      <c r="Q26" s="29">
        <v>47</v>
      </c>
      <c r="R26" s="33" t="s">
        <v>22</v>
      </c>
      <c r="S26" s="32" t="s">
        <v>22</v>
      </c>
      <c r="T26" s="29">
        <v>0</v>
      </c>
      <c r="U26" s="29">
        <v>16</v>
      </c>
      <c r="V26" s="29">
        <v>288</v>
      </c>
      <c r="W26" s="29">
        <v>0</v>
      </c>
      <c r="X26" s="33" t="s">
        <v>22</v>
      </c>
      <c r="Y26" s="29">
        <v>1461</v>
      </c>
      <c r="Z26" s="29">
        <v>47</v>
      </c>
    </row>
    <row r="27" spans="1:26" x14ac:dyDescent="0.35">
      <c r="A27" s="38"/>
      <c r="F27" s="2">
        <v>25</v>
      </c>
      <c r="G27" s="32" t="s">
        <v>23</v>
      </c>
      <c r="H27" s="29">
        <v>111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22</v>
      </c>
      <c r="N27" s="29">
        <v>0</v>
      </c>
      <c r="O27" s="29">
        <v>47</v>
      </c>
      <c r="P27" s="29">
        <v>564</v>
      </c>
      <c r="Q27" s="29">
        <v>24</v>
      </c>
      <c r="R27" s="33" t="s">
        <v>23</v>
      </c>
      <c r="S27" s="32" t="s">
        <v>23</v>
      </c>
      <c r="T27" s="29">
        <v>32</v>
      </c>
      <c r="U27" s="29">
        <v>32</v>
      </c>
      <c r="V27" s="29">
        <v>576</v>
      </c>
      <c r="W27" s="29">
        <v>16</v>
      </c>
      <c r="X27" s="33" t="s">
        <v>23</v>
      </c>
      <c r="Y27" s="29">
        <v>2139</v>
      </c>
      <c r="Z27" s="29">
        <v>114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29">
        <v>24</v>
      </c>
      <c r="P28" s="29">
        <v>288</v>
      </c>
      <c r="Q28" s="29">
        <v>1</v>
      </c>
      <c r="R28" s="33" t="s">
        <v>22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1242</v>
      </c>
      <c r="Z28" s="29">
        <v>38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23</v>
      </c>
      <c r="N29" s="29">
        <v>92</v>
      </c>
      <c r="O29" s="29">
        <v>93</v>
      </c>
      <c r="P29" s="29">
        <v>1116</v>
      </c>
      <c r="Q29" s="29">
        <v>70</v>
      </c>
      <c r="R29" s="33" t="s">
        <v>22</v>
      </c>
      <c r="S29" s="32" t="s">
        <v>23</v>
      </c>
      <c r="T29" s="29">
        <v>32</v>
      </c>
      <c r="U29" s="29">
        <v>32</v>
      </c>
      <c r="V29" s="29">
        <v>576</v>
      </c>
      <c r="W29" s="29">
        <v>16</v>
      </c>
      <c r="X29" s="33" t="s">
        <v>23</v>
      </c>
      <c r="Y29" s="29">
        <v>2025</v>
      </c>
      <c r="Z29" s="29">
        <v>86</v>
      </c>
    </row>
    <row r="30" spans="1:26" x14ac:dyDescent="0.35">
      <c r="A30" s="38" t="s">
        <v>35</v>
      </c>
      <c r="B30" s="30">
        <f t="shared" ref="B30:D31" si="0">B3</f>
        <v>111</v>
      </c>
      <c r="C30" s="30">
        <f t="shared" si="0"/>
        <v>92</v>
      </c>
      <c r="D30" s="30">
        <f t="shared" si="0"/>
        <v>32</v>
      </c>
      <c r="F30" s="2">
        <v>28</v>
      </c>
      <c r="G30" s="32" t="s">
        <v>23</v>
      </c>
      <c r="H30" s="29">
        <v>111</v>
      </c>
      <c r="I30" s="29">
        <v>111</v>
      </c>
      <c r="J30" s="29">
        <v>999</v>
      </c>
      <c r="K30" s="29">
        <v>74</v>
      </c>
      <c r="L30" s="33" t="s">
        <v>23</v>
      </c>
      <c r="M30" s="32" t="s">
        <v>22</v>
      </c>
      <c r="N30" s="29">
        <v>0</v>
      </c>
      <c r="O30" s="29">
        <v>70</v>
      </c>
      <c r="P30" s="29">
        <v>840</v>
      </c>
      <c r="Q30" s="29">
        <v>47</v>
      </c>
      <c r="R30" s="33" t="s">
        <v>22</v>
      </c>
      <c r="S30" s="32" t="s">
        <v>22</v>
      </c>
      <c r="T30" s="29">
        <v>0</v>
      </c>
      <c r="U30" s="29">
        <v>16</v>
      </c>
      <c r="V30" s="29">
        <v>288</v>
      </c>
      <c r="W30" s="29">
        <v>0</v>
      </c>
      <c r="X30" s="33" t="s">
        <v>22</v>
      </c>
      <c r="Y30" s="29">
        <v>2127</v>
      </c>
      <c r="Z30" s="29">
        <v>121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24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74</v>
      </c>
      <c r="J31" s="29">
        <v>666</v>
      </c>
      <c r="K31" s="29">
        <v>37</v>
      </c>
      <c r="L31" s="33" t="s">
        <v>22</v>
      </c>
      <c r="M31" s="32" t="s">
        <v>22</v>
      </c>
      <c r="N31" s="29">
        <v>0</v>
      </c>
      <c r="O31" s="29">
        <v>47</v>
      </c>
      <c r="P31" s="29">
        <v>564</v>
      </c>
      <c r="Q31" s="29">
        <v>24</v>
      </c>
      <c r="R31" s="33" t="s">
        <v>23</v>
      </c>
      <c r="S31" s="32" t="s">
        <v>23</v>
      </c>
      <c r="T31" s="29">
        <v>32</v>
      </c>
      <c r="U31" s="29">
        <v>32</v>
      </c>
      <c r="V31" s="29">
        <v>576</v>
      </c>
      <c r="W31" s="29">
        <v>16</v>
      </c>
      <c r="X31" s="33" t="s">
        <v>23</v>
      </c>
      <c r="Y31" s="29">
        <v>1806</v>
      </c>
      <c r="Z31" s="29">
        <v>77</v>
      </c>
    </row>
    <row r="32" spans="1:26" x14ac:dyDescent="0.35">
      <c r="A32" s="38" t="s">
        <v>45</v>
      </c>
      <c r="B32" s="47">
        <f>B22-13</f>
        <v>-9</v>
      </c>
      <c r="E32" s="30"/>
      <c r="F32" s="2">
        <v>30</v>
      </c>
      <c r="G32" s="32" t="s">
        <v>22</v>
      </c>
      <c r="H32" s="29">
        <v>0</v>
      </c>
      <c r="I32" s="29">
        <v>37</v>
      </c>
      <c r="J32" s="29">
        <v>333</v>
      </c>
      <c r="K32" s="29">
        <v>0</v>
      </c>
      <c r="L32" s="33" t="s">
        <v>22</v>
      </c>
      <c r="M32" s="32" t="s">
        <v>22</v>
      </c>
      <c r="N32" s="29">
        <v>0</v>
      </c>
      <c r="O32" s="29">
        <v>24</v>
      </c>
      <c r="P32" s="29">
        <v>288</v>
      </c>
      <c r="Q32" s="29">
        <v>1</v>
      </c>
      <c r="R32" s="33" t="s">
        <v>22</v>
      </c>
      <c r="S32" s="32" t="s">
        <v>22</v>
      </c>
      <c r="T32" s="29">
        <v>0</v>
      </c>
      <c r="U32" s="29">
        <v>16</v>
      </c>
      <c r="V32" s="29">
        <v>288</v>
      </c>
      <c r="W32" s="29">
        <v>0</v>
      </c>
      <c r="X32" s="33" t="s">
        <v>22</v>
      </c>
      <c r="Y32" s="29">
        <v>909</v>
      </c>
      <c r="Z32" s="29">
        <v>1</v>
      </c>
    </row>
    <row r="33" spans="1:26" x14ac:dyDescent="0.35">
      <c r="A33" s="38" t="s">
        <v>46</v>
      </c>
      <c r="B33" s="45">
        <f>B21-507911.75</f>
        <v>40835.75</v>
      </c>
      <c r="F33" s="17">
        <v>31</v>
      </c>
      <c r="G33" s="43" t="s">
        <v>23</v>
      </c>
      <c r="H33" s="41">
        <v>111</v>
      </c>
      <c r="I33" s="41">
        <v>111</v>
      </c>
      <c r="J33" s="41">
        <v>999</v>
      </c>
      <c r="K33" s="41">
        <v>74</v>
      </c>
      <c r="L33" s="44" t="s">
        <v>23</v>
      </c>
      <c r="M33" s="43" t="s">
        <v>23</v>
      </c>
      <c r="N33" s="41">
        <v>92</v>
      </c>
      <c r="O33" s="41">
        <v>93</v>
      </c>
      <c r="P33" s="41">
        <v>1116</v>
      </c>
      <c r="Q33" s="41">
        <v>70</v>
      </c>
      <c r="R33" s="44" t="s">
        <v>22</v>
      </c>
      <c r="S33" s="43" t="s">
        <v>23</v>
      </c>
      <c r="T33" s="41">
        <v>32</v>
      </c>
      <c r="U33" s="41">
        <v>32</v>
      </c>
      <c r="V33" s="41">
        <v>576</v>
      </c>
      <c r="W33" s="41">
        <v>16</v>
      </c>
      <c r="X33" s="44" t="s">
        <v>23</v>
      </c>
      <c r="Y33" s="41">
        <v>2691</v>
      </c>
      <c r="Z33" s="29">
        <v>160</v>
      </c>
    </row>
    <row r="34" spans="1:26" x14ac:dyDescent="0.35">
      <c r="F34" s="2">
        <v>32</v>
      </c>
      <c r="G34" s="32" t="s">
        <v>22</v>
      </c>
      <c r="H34" s="29">
        <v>0</v>
      </c>
      <c r="I34" s="29">
        <v>74</v>
      </c>
      <c r="J34" s="29">
        <v>666</v>
      </c>
      <c r="K34" s="29">
        <v>37</v>
      </c>
      <c r="L34" s="33" t="s">
        <v>22</v>
      </c>
      <c r="M34" s="32" t="s">
        <v>22</v>
      </c>
      <c r="N34" s="29">
        <v>0</v>
      </c>
      <c r="O34" s="29">
        <v>70</v>
      </c>
      <c r="P34" s="29">
        <v>840</v>
      </c>
      <c r="Q34" s="29">
        <v>47</v>
      </c>
      <c r="R34" s="33" t="s">
        <v>22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1794</v>
      </c>
      <c r="Z34" s="29">
        <v>84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37</v>
      </c>
      <c r="J35" s="29">
        <v>333</v>
      </c>
      <c r="K35" s="29">
        <v>0</v>
      </c>
      <c r="L35" s="33" t="s">
        <v>22</v>
      </c>
      <c r="M35" s="32" t="s">
        <v>22</v>
      </c>
      <c r="N35" s="29">
        <v>0</v>
      </c>
      <c r="O35" s="29">
        <v>47</v>
      </c>
      <c r="P35" s="29">
        <v>564</v>
      </c>
      <c r="Q35" s="29">
        <v>24</v>
      </c>
      <c r="R35" s="33" t="s">
        <v>23</v>
      </c>
      <c r="S35" s="32" t="s">
        <v>23</v>
      </c>
      <c r="T35" s="29">
        <v>32</v>
      </c>
      <c r="U35" s="29">
        <v>32</v>
      </c>
      <c r="V35" s="29">
        <v>576</v>
      </c>
      <c r="W35" s="29">
        <v>16</v>
      </c>
      <c r="X35" s="33" t="s">
        <v>23</v>
      </c>
      <c r="Y35" s="29">
        <v>1473</v>
      </c>
      <c r="Z35" s="29">
        <v>40</v>
      </c>
    </row>
    <row r="36" spans="1:26" x14ac:dyDescent="0.35">
      <c r="A36" s="38" t="s">
        <v>41</v>
      </c>
      <c r="B36" s="34"/>
      <c r="F36" s="2">
        <v>34</v>
      </c>
      <c r="G36" s="32" t="s">
        <v>23</v>
      </c>
      <c r="H36" s="29">
        <v>111</v>
      </c>
      <c r="I36" s="29">
        <v>111</v>
      </c>
      <c r="J36" s="29">
        <v>999</v>
      </c>
      <c r="K36" s="29">
        <v>74</v>
      </c>
      <c r="L36" s="33" t="s">
        <v>23</v>
      </c>
      <c r="M36" s="32" t="s">
        <v>22</v>
      </c>
      <c r="N36" s="29">
        <v>0</v>
      </c>
      <c r="O36" s="29">
        <v>24</v>
      </c>
      <c r="P36" s="29">
        <v>288</v>
      </c>
      <c r="Q36" s="29">
        <v>1</v>
      </c>
      <c r="R36" s="33" t="s">
        <v>22</v>
      </c>
      <c r="S36" s="32" t="s">
        <v>22</v>
      </c>
      <c r="T36" s="29">
        <v>0</v>
      </c>
      <c r="U36" s="29">
        <v>16</v>
      </c>
      <c r="V36" s="29">
        <v>288</v>
      </c>
      <c r="W36" s="29">
        <v>0</v>
      </c>
      <c r="X36" s="33" t="s">
        <v>22</v>
      </c>
      <c r="Y36" s="29">
        <v>1575</v>
      </c>
      <c r="Z36" s="29">
        <v>75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74</v>
      </c>
      <c r="J37" s="29">
        <v>666</v>
      </c>
      <c r="K37" s="29">
        <v>37</v>
      </c>
      <c r="L37" s="33" t="s">
        <v>22</v>
      </c>
      <c r="M37" s="32" t="s">
        <v>23</v>
      </c>
      <c r="N37" s="29">
        <v>92</v>
      </c>
      <c r="O37" s="29">
        <v>93</v>
      </c>
      <c r="P37" s="29">
        <v>1116</v>
      </c>
      <c r="Q37" s="29">
        <v>70</v>
      </c>
      <c r="R37" s="33" t="s">
        <v>22</v>
      </c>
      <c r="S37" s="32" t="s">
        <v>23</v>
      </c>
      <c r="T37" s="29">
        <v>32</v>
      </c>
      <c r="U37" s="29">
        <v>32</v>
      </c>
      <c r="V37" s="29">
        <v>576</v>
      </c>
      <c r="W37" s="29">
        <v>16</v>
      </c>
      <c r="X37" s="33" t="s">
        <v>23</v>
      </c>
      <c r="Y37" s="29">
        <v>2358</v>
      </c>
      <c r="Z37" s="29">
        <v>123</v>
      </c>
    </row>
    <row r="38" spans="1:26" x14ac:dyDescent="0.35">
      <c r="F38" s="2">
        <v>36</v>
      </c>
      <c r="G38" s="32" t="s">
        <v>22</v>
      </c>
      <c r="H38" s="29">
        <v>0</v>
      </c>
      <c r="I38" s="29">
        <v>37</v>
      </c>
      <c r="J38" s="29">
        <v>333</v>
      </c>
      <c r="K38" s="29">
        <v>0</v>
      </c>
      <c r="L38" s="33" t="s">
        <v>22</v>
      </c>
      <c r="M38" s="32" t="s">
        <v>22</v>
      </c>
      <c r="N38" s="29">
        <v>0</v>
      </c>
      <c r="O38" s="29">
        <v>70</v>
      </c>
      <c r="P38" s="29">
        <v>840</v>
      </c>
      <c r="Q38" s="29">
        <v>47</v>
      </c>
      <c r="R38" s="33" t="s">
        <v>22</v>
      </c>
      <c r="S38" s="32" t="s">
        <v>22</v>
      </c>
      <c r="T38" s="29">
        <v>0</v>
      </c>
      <c r="U38" s="29">
        <v>16</v>
      </c>
      <c r="V38" s="29">
        <v>288</v>
      </c>
      <c r="W38" s="29">
        <v>0</v>
      </c>
      <c r="X38" s="33" t="s">
        <v>22</v>
      </c>
      <c r="Y38" s="29">
        <v>1461</v>
      </c>
      <c r="Z38" s="29">
        <v>47</v>
      </c>
    </row>
    <row r="39" spans="1:26" x14ac:dyDescent="0.35">
      <c r="F39" s="2">
        <v>37</v>
      </c>
      <c r="G39" s="32" t="s">
        <v>23</v>
      </c>
      <c r="H39" s="29">
        <v>111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22</v>
      </c>
      <c r="N39" s="29">
        <v>0</v>
      </c>
      <c r="O39" s="29">
        <v>47</v>
      </c>
      <c r="P39" s="29">
        <v>564</v>
      </c>
      <c r="Q39" s="29">
        <v>24</v>
      </c>
      <c r="R39" s="33" t="s">
        <v>23</v>
      </c>
      <c r="S39" s="32" t="s">
        <v>23</v>
      </c>
      <c r="T39" s="29">
        <v>32</v>
      </c>
      <c r="U39" s="29">
        <v>32</v>
      </c>
      <c r="V39" s="29">
        <v>576</v>
      </c>
      <c r="W39" s="29">
        <v>16</v>
      </c>
      <c r="X39" s="33" t="s">
        <v>23</v>
      </c>
      <c r="Y39" s="29">
        <v>2139</v>
      </c>
      <c r="Z39" s="29">
        <v>114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29">
        <v>24</v>
      </c>
      <c r="P40" s="29">
        <v>288</v>
      </c>
      <c r="Q40" s="29">
        <v>1</v>
      </c>
      <c r="R40" s="33" t="s">
        <v>22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1242</v>
      </c>
      <c r="Z40" s="29">
        <v>38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23</v>
      </c>
      <c r="N41" s="29">
        <v>92</v>
      </c>
      <c r="O41" s="29">
        <v>93</v>
      </c>
      <c r="P41" s="29">
        <v>1116</v>
      </c>
      <c r="Q41" s="29">
        <v>70</v>
      </c>
      <c r="R41" s="33" t="s">
        <v>22</v>
      </c>
      <c r="S41" s="32" t="s">
        <v>23</v>
      </c>
      <c r="T41" s="29">
        <v>32</v>
      </c>
      <c r="U41" s="29">
        <v>32</v>
      </c>
      <c r="V41" s="29">
        <v>576</v>
      </c>
      <c r="W41" s="29">
        <v>16</v>
      </c>
      <c r="X41" s="33" t="s">
        <v>23</v>
      </c>
      <c r="Y41" s="29">
        <v>2025</v>
      </c>
      <c r="Z41" s="29">
        <v>86</v>
      </c>
    </row>
    <row r="42" spans="1:26" x14ac:dyDescent="0.35">
      <c r="F42" s="2">
        <v>40</v>
      </c>
      <c r="G42" s="32" t="s">
        <v>23</v>
      </c>
      <c r="H42" s="29">
        <v>111</v>
      </c>
      <c r="I42" s="29">
        <v>111</v>
      </c>
      <c r="J42" s="29">
        <v>999</v>
      </c>
      <c r="K42" s="29">
        <v>74</v>
      </c>
      <c r="L42" s="33" t="s">
        <v>23</v>
      </c>
      <c r="M42" s="32" t="s">
        <v>22</v>
      </c>
      <c r="N42" s="29">
        <v>0</v>
      </c>
      <c r="O42" s="29">
        <v>70</v>
      </c>
      <c r="P42" s="29">
        <v>840</v>
      </c>
      <c r="Q42" s="29">
        <v>47</v>
      </c>
      <c r="R42" s="33" t="s">
        <v>22</v>
      </c>
      <c r="S42" s="32" t="s">
        <v>22</v>
      </c>
      <c r="T42" s="29">
        <v>0</v>
      </c>
      <c r="U42" s="29">
        <v>16</v>
      </c>
      <c r="V42" s="29">
        <v>288</v>
      </c>
      <c r="W42" s="29">
        <v>0</v>
      </c>
      <c r="X42" s="33" t="s">
        <v>22</v>
      </c>
      <c r="Y42" s="29">
        <v>2127</v>
      </c>
      <c r="Z42" s="29">
        <v>121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74</v>
      </c>
      <c r="J43" s="29">
        <v>666</v>
      </c>
      <c r="K43" s="29">
        <v>37</v>
      </c>
      <c r="L43" s="33" t="s">
        <v>22</v>
      </c>
      <c r="M43" s="32" t="s">
        <v>22</v>
      </c>
      <c r="N43" s="29">
        <v>0</v>
      </c>
      <c r="O43" s="29">
        <v>47</v>
      </c>
      <c r="P43" s="29">
        <v>564</v>
      </c>
      <c r="Q43" s="29">
        <v>24</v>
      </c>
      <c r="R43" s="33" t="s">
        <v>23</v>
      </c>
      <c r="S43" s="32" t="s">
        <v>23</v>
      </c>
      <c r="T43" s="29">
        <v>32</v>
      </c>
      <c r="U43" s="29">
        <v>32</v>
      </c>
      <c r="V43" s="29">
        <v>576</v>
      </c>
      <c r="W43" s="29">
        <v>16</v>
      </c>
      <c r="X43" s="33" t="s">
        <v>23</v>
      </c>
      <c r="Y43" s="29">
        <v>1806</v>
      </c>
      <c r="Z43" s="29">
        <v>77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37</v>
      </c>
      <c r="J44" s="29">
        <v>333</v>
      </c>
      <c r="K44" s="29">
        <v>0</v>
      </c>
      <c r="L44" s="33" t="s">
        <v>22</v>
      </c>
      <c r="M44" s="32" t="s">
        <v>22</v>
      </c>
      <c r="N44" s="29">
        <v>0</v>
      </c>
      <c r="O44" s="29">
        <v>24</v>
      </c>
      <c r="P44" s="29">
        <v>288</v>
      </c>
      <c r="Q44" s="29">
        <v>1</v>
      </c>
      <c r="R44" s="33" t="s">
        <v>22</v>
      </c>
      <c r="S44" s="32" t="s">
        <v>22</v>
      </c>
      <c r="T44" s="29">
        <v>0</v>
      </c>
      <c r="U44" s="29">
        <v>16</v>
      </c>
      <c r="V44" s="29">
        <v>288</v>
      </c>
      <c r="W44" s="29">
        <v>0</v>
      </c>
      <c r="X44" s="33" t="s">
        <v>22</v>
      </c>
      <c r="Y44" s="29">
        <v>909</v>
      </c>
      <c r="Z44" s="29">
        <v>1</v>
      </c>
    </row>
    <row r="45" spans="1:26" x14ac:dyDescent="0.35">
      <c r="F45" s="17">
        <v>43</v>
      </c>
      <c r="G45" s="43" t="s">
        <v>23</v>
      </c>
      <c r="H45" s="41">
        <v>111</v>
      </c>
      <c r="I45" s="41">
        <v>111</v>
      </c>
      <c r="J45" s="41">
        <v>999</v>
      </c>
      <c r="K45" s="41">
        <v>74</v>
      </c>
      <c r="L45" s="44" t="s">
        <v>23</v>
      </c>
      <c r="M45" s="43" t="s">
        <v>23</v>
      </c>
      <c r="N45" s="41">
        <v>92</v>
      </c>
      <c r="O45" s="41">
        <v>93</v>
      </c>
      <c r="P45" s="41">
        <v>1116</v>
      </c>
      <c r="Q45" s="41">
        <v>70</v>
      </c>
      <c r="R45" s="44" t="s">
        <v>22</v>
      </c>
      <c r="S45" s="43" t="s">
        <v>23</v>
      </c>
      <c r="T45" s="41">
        <v>32</v>
      </c>
      <c r="U45" s="41">
        <v>32</v>
      </c>
      <c r="V45" s="41">
        <v>576</v>
      </c>
      <c r="W45" s="41">
        <v>16</v>
      </c>
      <c r="X45" s="44" t="s">
        <v>23</v>
      </c>
      <c r="Y45" s="41">
        <v>2691</v>
      </c>
      <c r="Z45" s="29">
        <v>160</v>
      </c>
    </row>
    <row r="46" spans="1:26" x14ac:dyDescent="0.35">
      <c r="F46" s="2">
        <v>44</v>
      </c>
      <c r="G46" s="32" t="s">
        <v>22</v>
      </c>
      <c r="H46" s="29">
        <v>0</v>
      </c>
      <c r="I46" s="29">
        <v>74</v>
      </c>
      <c r="J46" s="29">
        <v>666</v>
      </c>
      <c r="K46" s="29">
        <v>37</v>
      </c>
      <c r="L46" s="33" t="s">
        <v>22</v>
      </c>
      <c r="M46" s="32" t="s">
        <v>22</v>
      </c>
      <c r="N46" s="29">
        <v>0</v>
      </c>
      <c r="O46" s="29">
        <v>70</v>
      </c>
      <c r="P46" s="29">
        <v>840</v>
      </c>
      <c r="Q46" s="29">
        <v>47</v>
      </c>
      <c r="R46" s="33" t="s">
        <v>22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1794</v>
      </c>
      <c r="Z46" s="29">
        <v>84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37</v>
      </c>
      <c r="J47" s="29">
        <v>333</v>
      </c>
      <c r="K47" s="29">
        <v>0</v>
      </c>
      <c r="L47" s="33" t="s">
        <v>22</v>
      </c>
      <c r="M47" s="32" t="s">
        <v>22</v>
      </c>
      <c r="N47" s="29">
        <v>0</v>
      </c>
      <c r="O47" s="29">
        <v>47</v>
      </c>
      <c r="P47" s="29">
        <v>564</v>
      </c>
      <c r="Q47" s="29">
        <v>24</v>
      </c>
      <c r="R47" s="33" t="s">
        <v>23</v>
      </c>
      <c r="S47" s="32" t="s">
        <v>23</v>
      </c>
      <c r="T47" s="29">
        <v>32</v>
      </c>
      <c r="U47" s="29">
        <v>32</v>
      </c>
      <c r="V47" s="29">
        <v>576</v>
      </c>
      <c r="W47" s="29">
        <v>16</v>
      </c>
      <c r="X47" s="33" t="s">
        <v>23</v>
      </c>
      <c r="Y47" s="29">
        <v>1473</v>
      </c>
      <c r="Z47" s="29">
        <v>40</v>
      </c>
    </row>
    <row r="48" spans="1:26" x14ac:dyDescent="0.35">
      <c r="F48" s="2">
        <v>46</v>
      </c>
      <c r="G48" s="32" t="s">
        <v>23</v>
      </c>
      <c r="H48" s="29">
        <v>111</v>
      </c>
      <c r="I48" s="29">
        <v>111</v>
      </c>
      <c r="J48" s="29">
        <v>999</v>
      </c>
      <c r="K48" s="29">
        <v>74</v>
      </c>
      <c r="L48" s="33" t="s">
        <v>23</v>
      </c>
      <c r="M48" s="32" t="s">
        <v>22</v>
      </c>
      <c r="N48" s="29">
        <v>0</v>
      </c>
      <c r="O48" s="29">
        <v>24</v>
      </c>
      <c r="P48" s="29">
        <v>288</v>
      </c>
      <c r="Q48" s="29">
        <v>1</v>
      </c>
      <c r="R48" s="33" t="s">
        <v>22</v>
      </c>
      <c r="S48" s="32" t="s">
        <v>22</v>
      </c>
      <c r="T48" s="29">
        <v>0</v>
      </c>
      <c r="U48" s="29">
        <v>16</v>
      </c>
      <c r="V48" s="29">
        <v>288</v>
      </c>
      <c r="W48" s="29">
        <v>0</v>
      </c>
      <c r="X48" s="33" t="s">
        <v>22</v>
      </c>
      <c r="Y48" s="29">
        <v>1575</v>
      </c>
      <c r="Z48" s="29">
        <v>75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74</v>
      </c>
      <c r="J49" s="29">
        <v>666</v>
      </c>
      <c r="K49" s="29">
        <v>37</v>
      </c>
      <c r="L49" s="33" t="s">
        <v>22</v>
      </c>
      <c r="M49" s="32" t="s">
        <v>23</v>
      </c>
      <c r="N49" s="29">
        <v>92</v>
      </c>
      <c r="O49" s="29">
        <v>93</v>
      </c>
      <c r="P49" s="29">
        <v>1116</v>
      </c>
      <c r="Q49" s="29">
        <v>70</v>
      </c>
      <c r="R49" s="33" t="s">
        <v>22</v>
      </c>
      <c r="S49" s="32" t="s">
        <v>23</v>
      </c>
      <c r="T49" s="29">
        <v>32</v>
      </c>
      <c r="U49" s="29">
        <v>32</v>
      </c>
      <c r="V49" s="29">
        <v>576</v>
      </c>
      <c r="W49" s="29">
        <v>16</v>
      </c>
      <c r="X49" s="33" t="s">
        <v>23</v>
      </c>
      <c r="Y49" s="29">
        <v>2358</v>
      </c>
      <c r="Z49" s="29">
        <v>123</v>
      </c>
    </row>
    <row r="50" spans="6:26" x14ac:dyDescent="0.35">
      <c r="F50" s="2">
        <v>48</v>
      </c>
      <c r="G50" s="32" t="s">
        <v>22</v>
      </c>
      <c r="H50" s="29">
        <v>0</v>
      </c>
      <c r="I50" s="29">
        <v>37</v>
      </c>
      <c r="J50" s="29">
        <v>333</v>
      </c>
      <c r="K50" s="29">
        <v>0</v>
      </c>
      <c r="L50" s="33" t="s">
        <v>22</v>
      </c>
      <c r="M50" s="32" t="s">
        <v>22</v>
      </c>
      <c r="N50" s="29">
        <v>0</v>
      </c>
      <c r="O50" s="29">
        <v>70</v>
      </c>
      <c r="P50" s="29">
        <v>840</v>
      </c>
      <c r="Q50" s="29">
        <v>47</v>
      </c>
      <c r="R50" s="33" t="s">
        <v>22</v>
      </c>
      <c r="S50" s="32" t="s">
        <v>22</v>
      </c>
      <c r="T50" s="29">
        <v>0</v>
      </c>
      <c r="U50" s="29">
        <v>16</v>
      </c>
      <c r="V50" s="29">
        <v>288</v>
      </c>
      <c r="W50" s="29">
        <v>0</v>
      </c>
      <c r="X50" s="33" t="s">
        <v>22</v>
      </c>
      <c r="Y50" s="29">
        <v>1461</v>
      </c>
      <c r="Z50" s="29">
        <v>47</v>
      </c>
    </row>
    <row r="51" spans="6:26" x14ac:dyDescent="0.35">
      <c r="F51" s="2">
        <v>49</v>
      </c>
      <c r="G51" s="32" t="s">
        <v>23</v>
      </c>
      <c r="H51" s="29">
        <v>111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22</v>
      </c>
      <c r="N51" s="29">
        <v>0</v>
      </c>
      <c r="O51" s="29">
        <v>47</v>
      </c>
      <c r="P51" s="29">
        <v>564</v>
      </c>
      <c r="Q51" s="29">
        <v>24</v>
      </c>
      <c r="R51" s="33" t="s">
        <v>23</v>
      </c>
      <c r="S51" s="32" t="s">
        <v>23</v>
      </c>
      <c r="T51" s="29">
        <v>32</v>
      </c>
      <c r="U51" s="29">
        <v>32</v>
      </c>
      <c r="V51" s="29">
        <v>576</v>
      </c>
      <c r="W51" s="29">
        <v>16</v>
      </c>
      <c r="X51" s="33" t="s">
        <v>23</v>
      </c>
      <c r="Y51" s="29">
        <v>2139</v>
      </c>
      <c r="Z51" s="29">
        <v>114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29">
        <v>24</v>
      </c>
      <c r="P52" s="29">
        <v>288</v>
      </c>
      <c r="Q52" s="29">
        <v>1</v>
      </c>
      <c r="R52" s="33" t="s">
        <v>22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1242</v>
      </c>
      <c r="Z52" s="29">
        <v>38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0BDF-523C-4F40-AE03-EE14B2CA0E34}">
  <sheetPr codeName="Sheet9"/>
  <dimension ref="A1:Z53"/>
  <sheetViews>
    <sheetView topLeftCell="E1" zoomScale="90" zoomScaleNormal="90" workbookViewId="0">
      <selection activeCell="H40" sqref="H40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111</v>
      </c>
      <c r="C3" s="16">
        <v>86</v>
      </c>
      <c r="D3" s="16">
        <v>32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23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24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22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23</v>
      </c>
      <c r="N5" s="29">
        <v>86</v>
      </c>
      <c r="O5" s="29">
        <v>87</v>
      </c>
      <c r="P5" s="29">
        <v>1044</v>
      </c>
      <c r="Q5" s="29">
        <v>64</v>
      </c>
      <c r="R5" s="33" t="s">
        <v>22</v>
      </c>
      <c r="S5" s="32" t="s">
        <v>23</v>
      </c>
      <c r="T5" s="29">
        <v>32</v>
      </c>
      <c r="U5" s="29">
        <v>32</v>
      </c>
      <c r="V5" s="29">
        <v>576</v>
      </c>
      <c r="W5" s="29">
        <v>16</v>
      </c>
      <c r="X5" s="33" t="s">
        <v>23</v>
      </c>
      <c r="Y5" s="29">
        <v>1953</v>
      </c>
      <c r="Z5" s="29">
        <v>80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111</v>
      </c>
      <c r="I6" s="29">
        <v>111</v>
      </c>
      <c r="J6" s="29">
        <v>999</v>
      </c>
      <c r="K6" s="29">
        <v>74</v>
      </c>
      <c r="L6" s="33" t="s">
        <v>23</v>
      </c>
      <c r="M6" s="32" t="s">
        <v>22</v>
      </c>
      <c r="N6" s="29">
        <v>0</v>
      </c>
      <c r="O6" s="29">
        <v>64</v>
      </c>
      <c r="P6" s="29">
        <v>768</v>
      </c>
      <c r="Q6" s="29">
        <v>41</v>
      </c>
      <c r="R6" s="33" t="s">
        <v>22</v>
      </c>
      <c r="S6" s="32" t="s">
        <v>22</v>
      </c>
      <c r="T6" s="29">
        <v>0</v>
      </c>
      <c r="U6" s="29">
        <v>16</v>
      </c>
      <c r="V6" s="29">
        <v>288</v>
      </c>
      <c r="W6" s="29">
        <v>0</v>
      </c>
      <c r="X6" s="33" t="s">
        <v>22</v>
      </c>
      <c r="Y6" s="29">
        <v>2055</v>
      </c>
      <c r="Z6" s="29">
        <v>115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74</v>
      </c>
      <c r="J7" s="29">
        <v>666</v>
      </c>
      <c r="K7" s="29">
        <v>37</v>
      </c>
      <c r="L7" s="33" t="s">
        <v>22</v>
      </c>
      <c r="M7" s="32" t="s">
        <v>22</v>
      </c>
      <c r="N7" s="29">
        <v>0</v>
      </c>
      <c r="O7" s="29">
        <v>41</v>
      </c>
      <c r="P7" s="29">
        <v>492</v>
      </c>
      <c r="Q7" s="29">
        <v>18</v>
      </c>
      <c r="R7" s="33" t="s">
        <v>23</v>
      </c>
      <c r="S7" s="32" t="s">
        <v>23</v>
      </c>
      <c r="T7" s="29">
        <v>32</v>
      </c>
      <c r="U7" s="29">
        <v>32</v>
      </c>
      <c r="V7" s="29">
        <v>576</v>
      </c>
      <c r="W7" s="29">
        <v>16</v>
      </c>
      <c r="X7" s="33" t="s">
        <v>23</v>
      </c>
      <c r="Y7" s="29">
        <v>1734</v>
      </c>
      <c r="Z7" s="29">
        <v>71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37</v>
      </c>
      <c r="J8" s="29">
        <v>333</v>
      </c>
      <c r="K8" s="29">
        <v>0</v>
      </c>
      <c r="L8" s="33" t="s">
        <v>22</v>
      </c>
      <c r="M8" s="32" t="s">
        <v>22</v>
      </c>
      <c r="N8" s="29">
        <v>0</v>
      </c>
      <c r="O8" s="34">
        <v>18</v>
      </c>
      <c r="P8" s="29">
        <v>216</v>
      </c>
      <c r="Q8" s="29">
        <v>0</v>
      </c>
      <c r="R8" s="33" t="s">
        <v>22</v>
      </c>
      <c r="S8" s="32" t="s">
        <v>22</v>
      </c>
      <c r="T8" s="29">
        <v>0</v>
      </c>
      <c r="U8" s="29">
        <v>16</v>
      </c>
      <c r="V8" s="29">
        <v>288</v>
      </c>
      <c r="W8" s="29">
        <v>0</v>
      </c>
      <c r="X8" s="33" t="s">
        <v>22</v>
      </c>
      <c r="Y8" s="29">
        <v>837</v>
      </c>
      <c r="Z8" s="29">
        <v>0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17">
        <v>7</v>
      </c>
      <c r="G9" s="43" t="s">
        <v>23</v>
      </c>
      <c r="H9" s="41">
        <v>111</v>
      </c>
      <c r="I9" s="41">
        <v>111</v>
      </c>
      <c r="J9" s="41">
        <v>999</v>
      </c>
      <c r="K9" s="41">
        <v>74</v>
      </c>
      <c r="L9" s="44" t="s">
        <v>23</v>
      </c>
      <c r="M9" s="43" t="s">
        <v>23</v>
      </c>
      <c r="N9" s="41">
        <v>86</v>
      </c>
      <c r="O9" s="41">
        <v>86</v>
      </c>
      <c r="P9" s="41">
        <v>1032</v>
      </c>
      <c r="Q9" s="41">
        <v>63</v>
      </c>
      <c r="R9" s="44" t="s">
        <v>22</v>
      </c>
      <c r="S9" s="43" t="s">
        <v>23</v>
      </c>
      <c r="T9" s="41">
        <v>32</v>
      </c>
      <c r="U9" s="41">
        <v>32</v>
      </c>
      <c r="V9" s="41">
        <v>576</v>
      </c>
      <c r="W9" s="41">
        <v>16</v>
      </c>
      <c r="X9" s="44" t="s">
        <v>23</v>
      </c>
      <c r="Y9" s="41">
        <v>2607</v>
      </c>
      <c r="Z9" s="29">
        <v>153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29">
        <v>74</v>
      </c>
      <c r="J10" s="29">
        <v>666</v>
      </c>
      <c r="K10" s="29">
        <v>37</v>
      </c>
      <c r="L10" s="33" t="s">
        <v>22</v>
      </c>
      <c r="M10" s="32" t="s">
        <v>22</v>
      </c>
      <c r="N10" s="29">
        <v>0</v>
      </c>
      <c r="O10" s="29">
        <v>63</v>
      </c>
      <c r="P10" s="29">
        <v>756</v>
      </c>
      <c r="Q10" s="29">
        <v>40</v>
      </c>
      <c r="R10" s="33" t="s">
        <v>22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1710</v>
      </c>
      <c r="Z10" s="29">
        <v>77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37</v>
      </c>
      <c r="J11" s="29">
        <v>333</v>
      </c>
      <c r="K11" s="29">
        <v>0</v>
      </c>
      <c r="L11" s="33" t="s">
        <v>22</v>
      </c>
      <c r="M11" s="32" t="s">
        <v>22</v>
      </c>
      <c r="N11" s="29">
        <v>0</v>
      </c>
      <c r="O11" s="29">
        <v>40</v>
      </c>
      <c r="P11" s="29">
        <v>480</v>
      </c>
      <c r="Q11" s="29">
        <v>17</v>
      </c>
      <c r="R11" s="33" t="s">
        <v>23</v>
      </c>
      <c r="S11" s="32" t="s">
        <v>23</v>
      </c>
      <c r="T11" s="29">
        <v>32</v>
      </c>
      <c r="U11" s="29">
        <v>32</v>
      </c>
      <c r="V11" s="29">
        <v>576</v>
      </c>
      <c r="W11" s="29">
        <v>16</v>
      </c>
      <c r="X11" s="33" t="s">
        <v>23</v>
      </c>
      <c r="Y11" s="29">
        <v>1389</v>
      </c>
      <c r="Z11" s="29">
        <v>33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23</v>
      </c>
      <c r="H12" s="29">
        <v>111</v>
      </c>
      <c r="I12" s="29">
        <v>111</v>
      </c>
      <c r="J12" s="29">
        <v>999</v>
      </c>
      <c r="K12" s="29">
        <v>74</v>
      </c>
      <c r="L12" s="33" t="s">
        <v>23</v>
      </c>
      <c r="M12" s="32" t="s">
        <v>22</v>
      </c>
      <c r="N12" s="29">
        <v>0</v>
      </c>
      <c r="O12" s="34">
        <v>17</v>
      </c>
      <c r="P12" s="29">
        <v>204</v>
      </c>
      <c r="Q12" s="29">
        <v>0</v>
      </c>
      <c r="R12" s="33" t="s">
        <v>22</v>
      </c>
      <c r="S12" s="32" t="s">
        <v>22</v>
      </c>
      <c r="T12" s="29">
        <v>0</v>
      </c>
      <c r="U12" s="29">
        <v>16</v>
      </c>
      <c r="V12" s="29">
        <v>288</v>
      </c>
      <c r="W12" s="29">
        <v>0</v>
      </c>
      <c r="X12" s="33" t="s">
        <v>22</v>
      </c>
      <c r="Y12" s="29">
        <v>1491</v>
      </c>
      <c r="Z12" s="29">
        <v>74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74</v>
      </c>
      <c r="J13" s="29">
        <v>666</v>
      </c>
      <c r="K13" s="29">
        <v>37</v>
      </c>
      <c r="L13" s="33" t="s">
        <v>22</v>
      </c>
      <c r="M13" s="32" t="s">
        <v>23</v>
      </c>
      <c r="N13" s="29">
        <v>86</v>
      </c>
      <c r="O13" s="29">
        <v>86</v>
      </c>
      <c r="P13" s="29">
        <v>1032</v>
      </c>
      <c r="Q13" s="29">
        <v>63</v>
      </c>
      <c r="R13" s="33" t="s">
        <v>22</v>
      </c>
      <c r="S13" s="32" t="s">
        <v>23</v>
      </c>
      <c r="T13" s="29">
        <v>32</v>
      </c>
      <c r="U13" s="29">
        <v>32</v>
      </c>
      <c r="V13" s="29">
        <v>576</v>
      </c>
      <c r="W13" s="29">
        <v>16</v>
      </c>
      <c r="X13" s="33" t="s">
        <v>23</v>
      </c>
      <c r="Y13" s="29">
        <v>2274</v>
      </c>
      <c r="Z13" s="29">
        <v>116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29">
        <v>37</v>
      </c>
      <c r="J14" s="29">
        <v>333</v>
      </c>
      <c r="K14" s="29">
        <v>0</v>
      </c>
      <c r="L14" s="33" t="s">
        <v>22</v>
      </c>
      <c r="M14" s="32" t="s">
        <v>22</v>
      </c>
      <c r="N14" s="29">
        <v>0</v>
      </c>
      <c r="O14" s="29">
        <v>63</v>
      </c>
      <c r="P14" s="29">
        <v>756</v>
      </c>
      <c r="Q14" s="29">
        <v>40</v>
      </c>
      <c r="R14" s="33" t="s">
        <v>22</v>
      </c>
      <c r="S14" s="32" t="s">
        <v>22</v>
      </c>
      <c r="T14" s="29">
        <v>0</v>
      </c>
      <c r="U14" s="29">
        <v>16</v>
      </c>
      <c r="V14" s="29">
        <v>288</v>
      </c>
      <c r="W14" s="29">
        <v>0</v>
      </c>
      <c r="X14" s="33" t="s">
        <v>22</v>
      </c>
      <c r="Y14" s="29">
        <v>1377</v>
      </c>
      <c r="Z14" s="29">
        <v>40</v>
      </c>
    </row>
    <row r="15" spans="1:26" ht="15" thickBot="1" x14ac:dyDescent="0.4">
      <c r="A15" s="19" t="s">
        <v>28</v>
      </c>
      <c r="B15" s="26">
        <v>1776</v>
      </c>
      <c r="C15" s="26">
        <v>1032</v>
      </c>
      <c r="D15" s="26">
        <v>768</v>
      </c>
      <c r="E15" s="37">
        <v>3576</v>
      </c>
      <c r="F15" s="2">
        <v>13</v>
      </c>
      <c r="G15" s="32" t="s">
        <v>23</v>
      </c>
      <c r="H15" s="29">
        <v>111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22</v>
      </c>
      <c r="N15" s="29">
        <v>0</v>
      </c>
      <c r="O15" s="29">
        <v>40</v>
      </c>
      <c r="P15" s="29">
        <v>480</v>
      </c>
      <c r="Q15" s="29">
        <v>17</v>
      </c>
      <c r="R15" s="33" t="s">
        <v>23</v>
      </c>
      <c r="S15" s="32" t="s">
        <v>23</v>
      </c>
      <c r="T15" s="29">
        <v>32</v>
      </c>
      <c r="U15" s="29">
        <v>32</v>
      </c>
      <c r="V15" s="29">
        <v>576</v>
      </c>
      <c r="W15" s="29">
        <v>16</v>
      </c>
      <c r="X15" s="33" t="s">
        <v>23</v>
      </c>
      <c r="Y15" s="29">
        <v>2055</v>
      </c>
      <c r="Z15" s="29">
        <v>107</v>
      </c>
    </row>
    <row r="16" spans="1:26" ht="15" thickBot="1" x14ac:dyDescent="0.4">
      <c r="A16" s="18" t="s">
        <v>27</v>
      </c>
      <c r="B16" s="27">
        <v>16</v>
      </c>
      <c r="C16" s="27">
        <v>12</v>
      </c>
      <c r="D16" s="28">
        <v>24</v>
      </c>
      <c r="E16" s="37">
        <v>52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34">
        <v>17</v>
      </c>
      <c r="P16" s="29">
        <v>204</v>
      </c>
      <c r="Q16" s="29">
        <v>0</v>
      </c>
      <c r="R16" s="33" t="s">
        <v>22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1158</v>
      </c>
      <c r="Z16" s="29">
        <v>37</v>
      </c>
    </row>
    <row r="17" spans="1:26" ht="15" thickBot="1" x14ac:dyDescent="0.4">
      <c r="A17" s="11" t="s">
        <v>24</v>
      </c>
      <c r="B17" s="24">
        <v>1600</v>
      </c>
      <c r="C17" s="24">
        <v>1800</v>
      </c>
      <c r="D17" s="24">
        <v>1200</v>
      </c>
      <c r="E17" s="25">
        <v>4600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23</v>
      </c>
      <c r="N17" s="29">
        <v>86</v>
      </c>
      <c r="O17" s="29">
        <v>86</v>
      </c>
      <c r="P17" s="29">
        <v>1032</v>
      </c>
      <c r="Q17" s="29">
        <v>63</v>
      </c>
      <c r="R17" s="33" t="s">
        <v>22</v>
      </c>
      <c r="S17" s="32" t="s">
        <v>23</v>
      </c>
      <c r="T17" s="29">
        <v>32</v>
      </c>
      <c r="U17" s="29">
        <v>32</v>
      </c>
      <c r="V17" s="29">
        <v>576</v>
      </c>
      <c r="W17" s="29">
        <v>16</v>
      </c>
      <c r="X17" s="33" t="s">
        <v>23</v>
      </c>
      <c r="Y17" s="29">
        <v>1941</v>
      </c>
      <c r="Z17" s="29">
        <v>79</v>
      </c>
    </row>
    <row r="18" spans="1:26" ht="15" thickBot="1" x14ac:dyDescent="0.4">
      <c r="A18" s="11" t="s">
        <v>29</v>
      </c>
      <c r="B18" s="24">
        <v>88800</v>
      </c>
      <c r="C18" s="24">
        <v>361200</v>
      </c>
      <c r="D18" s="24">
        <v>65280</v>
      </c>
      <c r="E18" s="25">
        <v>515280</v>
      </c>
      <c r="F18" s="2">
        <v>16</v>
      </c>
      <c r="G18" s="32" t="s">
        <v>23</v>
      </c>
      <c r="H18" s="29">
        <v>111</v>
      </c>
      <c r="I18" s="29">
        <v>111</v>
      </c>
      <c r="J18" s="29">
        <v>999</v>
      </c>
      <c r="K18" s="29">
        <v>74</v>
      </c>
      <c r="L18" s="33" t="s">
        <v>23</v>
      </c>
      <c r="M18" s="32" t="s">
        <v>22</v>
      </c>
      <c r="N18" s="29">
        <v>0</v>
      </c>
      <c r="O18" s="29">
        <v>63</v>
      </c>
      <c r="P18" s="29">
        <v>756</v>
      </c>
      <c r="Q18" s="29">
        <v>40</v>
      </c>
      <c r="R18" s="33" t="s">
        <v>22</v>
      </c>
      <c r="S18" s="32" t="s">
        <v>22</v>
      </c>
      <c r="T18" s="29">
        <v>0</v>
      </c>
      <c r="U18" s="29">
        <v>16</v>
      </c>
      <c r="V18" s="29">
        <v>288</v>
      </c>
      <c r="W18" s="29">
        <v>0</v>
      </c>
      <c r="X18" s="33" t="s">
        <v>22</v>
      </c>
      <c r="Y18" s="29">
        <v>2043</v>
      </c>
      <c r="Z18" s="29">
        <v>114</v>
      </c>
    </row>
    <row r="19" spans="1:26" ht="15" thickBot="1" x14ac:dyDescent="0.4">
      <c r="A19" s="20" t="s">
        <v>30</v>
      </c>
      <c r="B19" s="25">
        <v>471.75</v>
      </c>
      <c r="C19" s="25">
        <v>2569</v>
      </c>
      <c r="D19" s="25">
        <v>170.00000000000003</v>
      </c>
      <c r="E19" s="25">
        <v>3210.75</v>
      </c>
      <c r="F19" s="2">
        <v>17</v>
      </c>
      <c r="G19" s="32" t="s">
        <v>22</v>
      </c>
      <c r="H19" s="29">
        <v>0</v>
      </c>
      <c r="I19" s="29">
        <v>74</v>
      </c>
      <c r="J19" s="29">
        <v>666</v>
      </c>
      <c r="K19" s="29">
        <v>37</v>
      </c>
      <c r="L19" s="33" t="s">
        <v>22</v>
      </c>
      <c r="M19" s="32" t="s">
        <v>22</v>
      </c>
      <c r="N19" s="29">
        <v>0</v>
      </c>
      <c r="O19" s="29">
        <v>40</v>
      </c>
      <c r="P19" s="29">
        <v>480</v>
      </c>
      <c r="Q19" s="29">
        <v>17</v>
      </c>
      <c r="R19" s="33" t="s">
        <v>23</v>
      </c>
      <c r="S19" s="32" t="s">
        <v>23</v>
      </c>
      <c r="T19" s="29">
        <v>32</v>
      </c>
      <c r="U19" s="29">
        <v>32</v>
      </c>
      <c r="V19" s="29">
        <v>576</v>
      </c>
      <c r="W19" s="29">
        <v>16</v>
      </c>
      <c r="X19" s="33" t="s">
        <v>23</v>
      </c>
      <c r="Y19" s="29">
        <v>1722</v>
      </c>
      <c r="Z19" s="29">
        <v>70</v>
      </c>
    </row>
    <row r="20" spans="1:26" ht="15" thickBot="1" x14ac:dyDescent="0.4">
      <c r="A20" s="23" t="s">
        <v>32</v>
      </c>
      <c r="B20" s="67">
        <v>3755</v>
      </c>
      <c r="C20" s="68"/>
      <c r="D20" s="69"/>
      <c r="F20" s="2">
        <v>18</v>
      </c>
      <c r="G20" s="32" t="s">
        <v>22</v>
      </c>
      <c r="H20" s="29">
        <v>0</v>
      </c>
      <c r="I20" s="29">
        <v>37</v>
      </c>
      <c r="J20" s="29">
        <v>333</v>
      </c>
      <c r="K20" s="29">
        <v>0</v>
      </c>
      <c r="L20" s="33" t="s">
        <v>22</v>
      </c>
      <c r="M20" s="32" t="s">
        <v>22</v>
      </c>
      <c r="N20" s="29">
        <v>0</v>
      </c>
      <c r="O20" s="34">
        <v>17</v>
      </c>
      <c r="P20" s="29">
        <v>204</v>
      </c>
      <c r="Q20" s="29">
        <v>0</v>
      </c>
      <c r="R20" s="33" t="s">
        <v>22</v>
      </c>
      <c r="S20" s="32" t="s">
        <v>22</v>
      </c>
      <c r="T20" s="29">
        <v>0</v>
      </c>
      <c r="U20" s="29">
        <v>16</v>
      </c>
      <c r="V20" s="29">
        <v>288</v>
      </c>
      <c r="W20" s="29">
        <v>0</v>
      </c>
      <c r="X20" s="33" t="s">
        <v>22</v>
      </c>
      <c r="Y20" s="29">
        <v>825</v>
      </c>
      <c r="Z20" s="29">
        <v>0</v>
      </c>
    </row>
    <row r="21" spans="1:26" ht="15" thickBot="1" x14ac:dyDescent="0.4">
      <c r="A21" s="21" t="s">
        <v>25</v>
      </c>
      <c r="B21" s="63">
        <v>523090.75</v>
      </c>
      <c r="C21" s="64"/>
      <c r="D21" s="65"/>
      <c r="F21" s="17">
        <v>19</v>
      </c>
      <c r="G21" s="43" t="s">
        <v>23</v>
      </c>
      <c r="H21" s="41">
        <v>111</v>
      </c>
      <c r="I21" s="41">
        <v>111</v>
      </c>
      <c r="J21" s="41">
        <v>999</v>
      </c>
      <c r="K21" s="41">
        <v>74</v>
      </c>
      <c r="L21" s="44" t="s">
        <v>23</v>
      </c>
      <c r="M21" s="43" t="s">
        <v>23</v>
      </c>
      <c r="N21" s="41">
        <v>86</v>
      </c>
      <c r="O21" s="41">
        <v>86</v>
      </c>
      <c r="P21" s="41">
        <v>1032</v>
      </c>
      <c r="Q21" s="41">
        <v>63</v>
      </c>
      <c r="R21" s="44" t="s">
        <v>22</v>
      </c>
      <c r="S21" s="43" t="s">
        <v>23</v>
      </c>
      <c r="T21" s="41">
        <v>32</v>
      </c>
      <c r="U21" s="41">
        <v>32</v>
      </c>
      <c r="V21" s="41">
        <v>576</v>
      </c>
      <c r="W21" s="41">
        <v>16</v>
      </c>
      <c r="X21" s="44" t="s">
        <v>23</v>
      </c>
      <c r="Y21" s="41">
        <v>2607</v>
      </c>
      <c r="Z21" s="29">
        <v>153</v>
      </c>
    </row>
    <row r="22" spans="1:26" ht="15" thickBot="1" x14ac:dyDescent="0.4">
      <c r="A22" s="22" t="s">
        <v>20</v>
      </c>
      <c r="B22" s="54">
        <v>4</v>
      </c>
      <c r="C22" s="55"/>
      <c r="D22" s="56"/>
      <c r="F22" s="2">
        <v>20</v>
      </c>
      <c r="G22" s="32" t="s">
        <v>22</v>
      </c>
      <c r="H22" s="29">
        <v>0</v>
      </c>
      <c r="I22" s="29">
        <v>74</v>
      </c>
      <c r="J22" s="29">
        <v>666</v>
      </c>
      <c r="K22" s="29">
        <v>37</v>
      </c>
      <c r="L22" s="33" t="s">
        <v>22</v>
      </c>
      <c r="M22" s="32" t="s">
        <v>22</v>
      </c>
      <c r="N22" s="29">
        <v>0</v>
      </c>
      <c r="O22" s="29">
        <v>63</v>
      </c>
      <c r="P22" s="29">
        <v>756</v>
      </c>
      <c r="Q22" s="29">
        <v>40</v>
      </c>
      <c r="R22" s="33" t="s">
        <v>22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1710</v>
      </c>
      <c r="Z22" s="29">
        <v>77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37</v>
      </c>
      <c r="J23" s="29">
        <v>333</v>
      </c>
      <c r="K23" s="29">
        <v>0</v>
      </c>
      <c r="L23" s="33" t="s">
        <v>22</v>
      </c>
      <c r="M23" s="32" t="s">
        <v>22</v>
      </c>
      <c r="N23" s="29">
        <v>0</v>
      </c>
      <c r="O23" s="29">
        <v>40</v>
      </c>
      <c r="P23" s="29">
        <v>480</v>
      </c>
      <c r="Q23" s="29">
        <v>17</v>
      </c>
      <c r="R23" s="33" t="s">
        <v>23</v>
      </c>
      <c r="S23" s="32" t="s">
        <v>23</v>
      </c>
      <c r="T23" s="29">
        <v>32</v>
      </c>
      <c r="U23" s="29">
        <v>32</v>
      </c>
      <c r="V23" s="29">
        <v>576</v>
      </c>
      <c r="W23" s="29">
        <v>16</v>
      </c>
      <c r="X23" s="33" t="s">
        <v>23</v>
      </c>
      <c r="Y23" s="29">
        <v>1389</v>
      </c>
      <c r="Z23" s="29">
        <v>33</v>
      </c>
    </row>
    <row r="24" spans="1:26" x14ac:dyDescent="0.35">
      <c r="A24" s="38" t="s">
        <v>9</v>
      </c>
      <c r="B24" s="30"/>
      <c r="C24" s="30"/>
      <c r="D24" s="30"/>
      <c r="F24" s="2">
        <v>22</v>
      </c>
      <c r="G24" s="32" t="s">
        <v>23</v>
      </c>
      <c r="H24" s="29">
        <v>111</v>
      </c>
      <c r="I24" s="29">
        <v>111</v>
      </c>
      <c r="J24" s="29">
        <v>999</v>
      </c>
      <c r="K24" s="29">
        <v>74</v>
      </c>
      <c r="L24" s="33" t="s">
        <v>23</v>
      </c>
      <c r="M24" s="32" t="s">
        <v>22</v>
      </c>
      <c r="N24" s="29">
        <v>0</v>
      </c>
      <c r="O24" s="34">
        <v>17</v>
      </c>
      <c r="P24" s="29">
        <v>204</v>
      </c>
      <c r="Q24" s="29">
        <v>0</v>
      </c>
      <c r="R24" s="33" t="s">
        <v>22</v>
      </c>
      <c r="S24" s="32" t="s">
        <v>22</v>
      </c>
      <c r="T24" s="29">
        <v>0</v>
      </c>
      <c r="U24" s="29">
        <v>16</v>
      </c>
      <c r="V24" s="29">
        <v>288</v>
      </c>
      <c r="W24" s="29">
        <v>0</v>
      </c>
      <c r="X24" s="33" t="s">
        <v>22</v>
      </c>
      <c r="Y24" s="29">
        <v>1491</v>
      </c>
      <c r="Z24" s="29">
        <v>74</v>
      </c>
    </row>
    <row r="25" spans="1:26" x14ac:dyDescent="0.35">
      <c r="A25" s="38" t="s">
        <v>44</v>
      </c>
      <c r="F25" s="2">
        <v>23</v>
      </c>
      <c r="G25" s="32" t="s">
        <v>22</v>
      </c>
      <c r="H25" s="29">
        <v>0</v>
      </c>
      <c r="I25" s="29">
        <v>74</v>
      </c>
      <c r="J25" s="29">
        <v>666</v>
      </c>
      <c r="K25" s="29">
        <v>37</v>
      </c>
      <c r="L25" s="33" t="s">
        <v>22</v>
      </c>
      <c r="M25" s="32" t="s">
        <v>23</v>
      </c>
      <c r="N25" s="29">
        <v>86</v>
      </c>
      <c r="O25" s="29">
        <v>86</v>
      </c>
      <c r="P25" s="29">
        <v>1032</v>
      </c>
      <c r="Q25" s="29">
        <v>63</v>
      </c>
      <c r="R25" s="33" t="s">
        <v>22</v>
      </c>
      <c r="S25" s="32" t="s">
        <v>23</v>
      </c>
      <c r="T25" s="29">
        <v>32</v>
      </c>
      <c r="U25" s="29">
        <v>32</v>
      </c>
      <c r="V25" s="29">
        <v>576</v>
      </c>
      <c r="W25" s="29">
        <v>16</v>
      </c>
      <c r="X25" s="33" t="s">
        <v>23</v>
      </c>
      <c r="Y25" s="29">
        <v>2274</v>
      </c>
      <c r="Z25" s="29">
        <v>116</v>
      </c>
    </row>
    <row r="26" spans="1:26" x14ac:dyDescent="0.35">
      <c r="A26" s="38"/>
      <c r="F26" s="2">
        <v>24</v>
      </c>
      <c r="G26" s="32" t="s">
        <v>22</v>
      </c>
      <c r="H26" s="29">
        <v>0</v>
      </c>
      <c r="I26" s="29">
        <v>37</v>
      </c>
      <c r="J26" s="29">
        <v>333</v>
      </c>
      <c r="K26" s="29">
        <v>0</v>
      </c>
      <c r="L26" s="33" t="s">
        <v>22</v>
      </c>
      <c r="M26" s="32" t="s">
        <v>22</v>
      </c>
      <c r="N26" s="29">
        <v>0</v>
      </c>
      <c r="O26" s="29">
        <v>63</v>
      </c>
      <c r="P26" s="29">
        <v>756</v>
      </c>
      <c r="Q26" s="29">
        <v>40</v>
      </c>
      <c r="R26" s="33" t="s">
        <v>22</v>
      </c>
      <c r="S26" s="32" t="s">
        <v>22</v>
      </c>
      <c r="T26" s="29">
        <v>0</v>
      </c>
      <c r="U26" s="29">
        <v>16</v>
      </c>
      <c r="V26" s="29">
        <v>288</v>
      </c>
      <c r="W26" s="29">
        <v>0</v>
      </c>
      <c r="X26" s="33" t="s">
        <v>22</v>
      </c>
      <c r="Y26" s="29">
        <v>1377</v>
      </c>
      <c r="Z26" s="29">
        <v>40</v>
      </c>
    </row>
    <row r="27" spans="1:26" x14ac:dyDescent="0.35">
      <c r="A27" s="38"/>
      <c r="F27" s="2">
        <v>25</v>
      </c>
      <c r="G27" s="32" t="s">
        <v>23</v>
      </c>
      <c r="H27" s="29">
        <v>111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22</v>
      </c>
      <c r="N27" s="29">
        <v>0</v>
      </c>
      <c r="O27" s="29">
        <v>40</v>
      </c>
      <c r="P27" s="29">
        <v>480</v>
      </c>
      <c r="Q27" s="29">
        <v>17</v>
      </c>
      <c r="R27" s="33" t="s">
        <v>23</v>
      </c>
      <c r="S27" s="32" t="s">
        <v>23</v>
      </c>
      <c r="T27" s="29">
        <v>32</v>
      </c>
      <c r="U27" s="29">
        <v>32</v>
      </c>
      <c r="V27" s="29">
        <v>576</v>
      </c>
      <c r="W27" s="29">
        <v>16</v>
      </c>
      <c r="X27" s="33" t="s">
        <v>23</v>
      </c>
      <c r="Y27" s="29">
        <v>2055</v>
      </c>
      <c r="Z27" s="29">
        <v>107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34">
        <v>17</v>
      </c>
      <c r="P28" s="29">
        <v>204</v>
      </c>
      <c r="Q28" s="29">
        <v>0</v>
      </c>
      <c r="R28" s="33" t="s">
        <v>22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1158</v>
      </c>
      <c r="Z28" s="29">
        <v>37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23</v>
      </c>
      <c r="N29" s="29">
        <v>86</v>
      </c>
      <c r="O29" s="29">
        <v>86</v>
      </c>
      <c r="P29" s="29">
        <v>1032</v>
      </c>
      <c r="Q29" s="29">
        <v>63</v>
      </c>
      <c r="R29" s="33" t="s">
        <v>22</v>
      </c>
      <c r="S29" s="32" t="s">
        <v>23</v>
      </c>
      <c r="T29" s="29">
        <v>32</v>
      </c>
      <c r="U29" s="29">
        <v>32</v>
      </c>
      <c r="V29" s="29">
        <v>576</v>
      </c>
      <c r="W29" s="29">
        <v>16</v>
      </c>
      <c r="X29" s="33" t="s">
        <v>23</v>
      </c>
      <c r="Y29" s="29">
        <v>1941</v>
      </c>
      <c r="Z29" s="29">
        <v>79</v>
      </c>
    </row>
    <row r="30" spans="1:26" x14ac:dyDescent="0.35">
      <c r="A30" s="38" t="s">
        <v>35</v>
      </c>
      <c r="B30" s="30">
        <f t="shared" ref="B30:D31" si="0">B3</f>
        <v>111</v>
      </c>
      <c r="C30" s="30">
        <f t="shared" si="0"/>
        <v>86</v>
      </c>
      <c r="D30" s="30">
        <f t="shared" si="0"/>
        <v>32</v>
      </c>
      <c r="F30" s="2">
        <v>28</v>
      </c>
      <c r="G30" s="32" t="s">
        <v>23</v>
      </c>
      <c r="H30" s="29">
        <v>111</v>
      </c>
      <c r="I30" s="29">
        <v>111</v>
      </c>
      <c r="J30" s="29">
        <v>999</v>
      </c>
      <c r="K30" s="29">
        <v>74</v>
      </c>
      <c r="L30" s="33" t="s">
        <v>23</v>
      </c>
      <c r="M30" s="32" t="s">
        <v>22</v>
      </c>
      <c r="N30" s="29">
        <v>0</v>
      </c>
      <c r="O30" s="29">
        <v>63</v>
      </c>
      <c r="P30" s="29">
        <v>756</v>
      </c>
      <c r="Q30" s="29">
        <v>40</v>
      </c>
      <c r="R30" s="33" t="s">
        <v>22</v>
      </c>
      <c r="S30" s="32" t="s">
        <v>22</v>
      </c>
      <c r="T30" s="29">
        <v>0</v>
      </c>
      <c r="U30" s="29">
        <v>16</v>
      </c>
      <c r="V30" s="29">
        <v>288</v>
      </c>
      <c r="W30" s="29">
        <v>0</v>
      </c>
      <c r="X30" s="33" t="s">
        <v>22</v>
      </c>
      <c r="Y30" s="29">
        <v>2043</v>
      </c>
      <c r="Z30" s="29">
        <v>114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24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74</v>
      </c>
      <c r="J31" s="29">
        <v>666</v>
      </c>
      <c r="K31" s="29">
        <v>37</v>
      </c>
      <c r="L31" s="33" t="s">
        <v>22</v>
      </c>
      <c r="M31" s="32" t="s">
        <v>22</v>
      </c>
      <c r="N31" s="29">
        <v>0</v>
      </c>
      <c r="O31" s="29">
        <v>40</v>
      </c>
      <c r="P31" s="29">
        <v>480</v>
      </c>
      <c r="Q31" s="29">
        <v>17</v>
      </c>
      <c r="R31" s="33" t="s">
        <v>23</v>
      </c>
      <c r="S31" s="32" t="s">
        <v>23</v>
      </c>
      <c r="T31" s="29">
        <v>32</v>
      </c>
      <c r="U31" s="29">
        <v>32</v>
      </c>
      <c r="V31" s="29">
        <v>576</v>
      </c>
      <c r="W31" s="29">
        <v>16</v>
      </c>
      <c r="X31" s="33" t="s">
        <v>23</v>
      </c>
      <c r="Y31" s="29">
        <v>1722</v>
      </c>
      <c r="Z31" s="29">
        <v>70</v>
      </c>
    </row>
    <row r="32" spans="1:26" x14ac:dyDescent="0.35">
      <c r="A32" s="38" t="s">
        <v>45</v>
      </c>
      <c r="B32" s="47">
        <f>B22-13</f>
        <v>-9</v>
      </c>
      <c r="E32" s="30"/>
      <c r="F32" s="2">
        <v>30</v>
      </c>
      <c r="G32" s="32" t="s">
        <v>22</v>
      </c>
      <c r="H32" s="29">
        <v>0</v>
      </c>
      <c r="I32" s="29">
        <v>37</v>
      </c>
      <c r="J32" s="29">
        <v>333</v>
      </c>
      <c r="K32" s="29">
        <v>0</v>
      </c>
      <c r="L32" s="33" t="s">
        <v>22</v>
      </c>
      <c r="M32" s="32" t="s">
        <v>22</v>
      </c>
      <c r="N32" s="29">
        <v>0</v>
      </c>
      <c r="O32" s="34">
        <v>17</v>
      </c>
      <c r="P32" s="29">
        <v>204</v>
      </c>
      <c r="Q32" s="29">
        <v>0</v>
      </c>
      <c r="R32" s="33" t="s">
        <v>22</v>
      </c>
      <c r="S32" s="32" t="s">
        <v>22</v>
      </c>
      <c r="T32" s="29">
        <v>0</v>
      </c>
      <c r="U32" s="29">
        <v>16</v>
      </c>
      <c r="V32" s="29">
        <v>288</v>
      </c>
      <c r="W32" s="29">
        <v>0</v>
      </c>
      <c r="X32" s="33" t="s">
        <v>22</v>
      </c>
      <c r="Y32" s="29">
        <v>825</v>
      </c>
      <c r="Z32" s="29">
        <v>0</v>
      </c>
    </row>
    <row r="33" spans="1:26" x14ac:dyDescent="0.35">
      <c r="A33" s="38" t="s">
        <v>46</v>
      </c>
      <c r="B33" s="45">
        <f>B21-507911.75</f>
        <v>15179</v>
      </c>
      <c r="F33" s="17">
        <v>31</v>
      </c>
      <c r="G33" s="43" t="s">
        <v>23</v>
      </c>
      <c r="H33" s="41">
        <v>111</v>
      </c>
      <c r="I33" s="41">
        <v>111</v>
      </c>
      <c r="J33" s="41">
        <v>999</v>
      </c>
      <c r="K33" s="41">
        <v>74</v>
      </c>
      <c r="L33" s="44" t="s">
        <v>23</v>
      </c>
      <c r="M33" s="43" t="s">
        <v>23</v>
      </c>
      <c r="N33" s="41">
        <v>86</v>
      </c>
      <c r="O33" s="41">
        <v>86</v>
      </c>
      <c r="P33" s="41">
        <v>1032</v>
      </c>
      <c r="Q33" s="41">
        <v>63</v>
      </c>
      <c r="R33" s="44" t="s">
        <v>22</v>
      </c>
      <c r="S33" s="43" t="s">
        <v>23</v>
      </c>
      <c r="T33" s="41">
        <v>32</v>
      </c>
      <c r="U33" s="41">
        <v>32</v>
      </c>
      <c r="V33" s="41">
        <v>576</v>
      </c>
      <c r="W33" s="41">
        <v>16</v>
      </c>
      <c r="X33" s="44" t="s">
        <v>23</v>
      </c>
      <c r="Y33" s="41">
        <v>2607</v>
      </c>
      <c r="Z33" s="29">
        <v>153</v>
      </c>
    </row>
    <row r="34" spans="1:26" x14ac:dyDescent="0.35">
      <c r="F34" s="2">
        <v>32</v>
      </c>
      <c r="G34" s="32" t="s">
        <v>22</v>
      </c>
      <c r="H34" s="29">
        <v>0</v>
      </c>
      <c r="I34" s="29">
        <v>74</v>
      </c>
      <c r="J34" s="29">
        <v>666</v>
      </c>
      <c r="K34" s="29">
        <v>37</v>
      </c>
      <c r="L34" s="33" t="s">
        <v>22</v>
      </c>
      <c r="M34" s="32" t="s">
        <v>22</v>
      </c>
      <c r="N34" s="29">
        <v>0</v>
      </c>
      <c r="O34" s="29">
        <v>63</v>
      </c>
      <c r="P34" s="29">
        <v>756</v>
      </c>
      <c r="Q34" s="29">
        <v>40</v>
      </c>
      <c r="R34" s="33" t="s">
        <v>22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1710</v>
      </c>
      <c r="Z34" s="29">
        <v>77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37</v>
      </c>
      <c r="J35" s="29">
        <v>333</v>
      </c>
      <c r="K35" s="29">
        <v>0</v>
      </c>
      <c r="L35" s="33" t="s">
        <v>22</v>
      </c>
      <c r="M35" s="32" t="s">
        <v>22</v>
      </c>
      <c r="N35" s="29">
        <v>0</v>
      </c>
      <c r="O35" s="29">
        <v>40</v>
      </c>
      <c r="P35" s="29">
        <v>480</v>
      </c>
      <c r="Q35" s="29">
        <v>17</v>
      </c>
      <c r="R35" s="33" t="s">
        <v>23</v>
      </c>
      <c r="S35" s="32" t="s">
        <v>23</v>
      </c>
      <c r="T35" s="29">
        <v>32</v>
      </c>
      <c r="U35" s="29">
        <v>32</v>
      </c>
      <c r="V35" s="29">
        <v>576</v>
      </c>
      <c r="W35" s="29">
        <v>16</v>
      </c>
      <c r="X35" s="33" t="s">
        <v>23</v>
      </c>
      <c r="Y35" s="29">
        <v>1389</v>
      </c>
      <c r="Z35" s="29">
        <v>33</v>
      </c>
    </row>
    <row r="36" spans="1:26" x14ac:dyDescent="0.35">
      <c r="A36" s="38" t="s">
        <v>41</v>
      </c>
      <c r="B36" s="34"/>
      <c r="F36" s="2">
        <v>34</v>
      </c>
      <c r="G36" s="32" t="s">
        <v>23</v>
      </c>
      <c r="H36" s="29">
        <v>111</v>
      </c>
      <c r="I36" s="29">
        <v>111</v>
      </c>
      <c r="J36" s="29">
        <v>999</v>
      </c>
      <c r="K36" s="29">
        <v>74</v>
      </c>
      <c r="L36" s="33" t="s">
        <v>23</v>
      </c>
      <c r="M36" s="32" t="s">
        <v>22</v>
      </c>
      <c r="N36" s="29">
        <v>0</v>
      </c>
      <c r="O36" s="34">
        <v>17</v>
      </c>
      <c r="P36" s="29">
        <v>204</v>
      </c>
      <c r="Q36" s="29">
        <v>0</v>
      </c>
      <c r="R36" s="33" t="s">
        <v>22</v>
      </c>
      <c r="S36" s="32" t="s">
        <v>22</v>
      </c>
      <c r="T36" s="29">
        <v>0</v>
      </c>
      <c r="U36" s="29">
        <v>16</v>
      </c>
      <c r="V36" s="29">
        <v>288</v>
      </c>
      <c r="W36" s="29">
        <v>0</v>
      </c>
      <c r="X36" s="33" t="s">
        <v>22</v>
      </c>
      <c r="Y36" s="29">
        <v>1491</v>
      </c>
      <c r="Z36" s="29">
        <v>74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74</v>
      </c>
      <c r="J37" s="29">
        <v>666</v>
      </c>
      <c r="K37" s="29">
        <v>37</v>
      </c>
      <c r="L37" s="33" t="s">
        <v>22</v>
      </c>
      <c r="M37" s="32" t="s">
        <v>23</v>
      </c>
      <c r="N37" s="29">
        <v>86</v>
      </c>
      <c r="O37" s="29">
        <v>86</v>
      </c>
      <c r="P37" s="29">
        <v>1032</v>
      </c>
      <c r="Q37" s="29">
        <v>63</v>
      </c>
      <c r="R37" s="33" t="s">
        <v>22</v>
      </c>
      <c r="S37" s="32" t="s">
        <v>23</v>
      </c>
      <c r="T37" s="29">
        <v>32</v>
      </c>
      <c r="U37" s="29">
        <v>32</v>
      </c>
      <c r="V37" s="29">
        <v>576</v>
      </c>
      <c r="W37" s="29">
        <v>16</v>
      </c>
      <c r="X37" s="33" t="s">
        <v>23</v>
      </c>
      <c r="Y37" s="29">
        <v>2274</v>
      </c>
      <c r="Z37" s="29">
        <v>116</v>
      </c>
    </row>
    <row r="38" spans="1:26" x14ac:dyDescent="0.35">
      <c r="F38" s="2">
        <v>36</v>
      </c>
      <c r="G38" s="32" t="s">
        <v>22</v>
      </c>
      <c r="H38" s="29">
        <v>0</v>
      </c>
      <c r="I38" s="29">
        <v>37</v>
      </c>
      <c r="J38" s="29">
        <v>333</v>
      </c>
      <c r="K38" s="29">
        <v>0</v>
      </c>
      <c r="L38" s="33" t="s">
        <v>22</v>
      </c>
      <c r="M38" s="32" t="s">
        <v>22</v>
      </c>
      <c r="N38" s="29">
        <v>0</v>
      </c>
      <c r="O38" s="29">
        <v>63</v>
      </c>
      <c r="P38" s="29">
        <v>756</v>
      </c>
      <c r="Q38" s="29">
        <v>40</v>
      </c>
      <c r="R38" s="33" t="s">
        <v>22</v>
      </c>
      <c r="S38" s="32" t="s">
        <v>22</v>
      </c>
      <c r="T38" s="29">
        <v>0</v>
      </c>
      <c r="U38" s="29">
        <v>16</v>
      </c>
      <c r="V38" s="29">
        <v>288</v>
      </c>
      <c r="W38" s="29">
        <v>0</v>
      </c>
      <c r="X38" s="33" t="s">
        <v>22</v>
      </c>
      <c r="Y38" s="29">
        <v>1377</v>
      </c>
      <c r="Z38" s="29">
        <v>40</v>
      </c>
    </row>
    <row r="39" spans="1:26" x14ac:dyDescent="0.35">
      <c r="F39" s="2">
        <v>37</v>
      </c>
      <c r="G39" s="32" t="s">
        <v>23</v>
      </c>
      <c r="H39" s="29">
        <v>111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22</v>
      </c>
      <c r="N39" s="29">
        <v>0</v>
      </c>
      <c r="O39" s="29">
        <v>40</v>
      </c>
      <c r="P39" s="29">
        <v>480</v>
      </c>
      <c r="Q39" s="29">
        <v>17</v>
      </c>
      <c r="R39" s="33" t="s">
        <v>23</v>
      </c>
      <c r="S39" s="32" t="s">
        <v>23</v>
      </c>
      <c r="T39" s="29">
        <v>32</v>
      </c>
      <c r="U39" s="29">
        <v>32</v>
      </c>
      <c r="V39" s="29">
        <v>576</v>
      </c>
      <c r="W39" s="29">
        <v>16</v>
      </c>
      <c r="X39" s="33" t="s">
        <v>23</v>
      </c>
      <c r="Y39" s="29">
        <v>2055</v>
      </c>
      <c r="Z39" s="29">
        <v>107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34">
        <v>17</v>
      </c>
      <c r="P40" s="29">
        <v>204</v>
      </c>
      <c r="Q40" s="29">
        <v>0</v>
      </c>
      <c r="R40" s="33" t="s">
        <v>22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1158</v>
      </c>
      <c r="Z40" s="29">
        <v>37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23</v>
      </c>
      <c r="N41" s="29">
        <v>86</v>
      </c>
      <c r="O41" s="29">
        <v>86</v>
      </c>
      <c r="P41" s="29">
        <v>1032</v>
      </c>
      <c r="Q41" s="29">
        <v>63</v>
      </c>
      <c r="R41" s="33" t="s">
        <v>22</v>
      </c>
      <c r="S41" s="32" t="s">
        <v>23</v>
      </c>
      <c r="T41" s="29">
        <v>32</v>
      </c>
      <c r="U41" s="29">
        <v>32</v>
      </c>
      <c r="V41" s="29">
        <v>576</v>
      </c>
      <c r="W41" s="29">
        <v>16</v>
      </c>
      <c r="X41" s="33" t="s">
        <v>23</v>
      </c>
      <c r="Y41" s="29">
        <v>1941</v>
      </c>
      <c r="Z41" s="29">
        <v>79</v>
      </c>
    </row>
    <row r="42" spans="1:26" x14ac:dyDescent="0.35">
      <c r="F42" s="2">
        <v>40</v>
      </c>
      <c r="G42" s="32" t="s">
        <v>23</v>
      </c>
      <c r="H42" s="29">
        <v>111</v>
      </c>
      <c r="I42" s="29">
        <v>111</v>
      </c>
      <c r="J42" s="29">
        <v>999</v>
      </c>
      <c r="K42" s="29">
        <v>74</v>
      </c>
      <c r="L42" s="33" t="s">
        <v>23</v>
      </c>
      <c r="M42" s="32" t="s">
        <v>22</v>
      </c>
      <c r="N42" s="29">
        <v>0</v>
      </c>
      <c r="O42" s="29">
        <v>63</v>
      </c>
      <c r="P42" s="29">
        <v>756</v>
      </c>
      <c r="Q42" s="29">
        <v>40</v>
      </c>
      <c r="R42" s="33" t="s">
        <v>22</v>
      </c>
      <c r="S42" s="32" t="s">
        <v>22</v>
      </c>
      <c r="T42" s="29">
        <v>0</v>
      </c>
      <c r="U42" s="29">
        <v>16</v>
      </c>
      <c r="V42" s="29">
        <v>288</v>
      </c>
      <c r="W42" s="29">
        <v>0</v>
      </c>
      <c r="X42" s="33" t="s">
        <v>22</v>
      </c>
      <c r="Y42" s="29">
        <v>2043</v>
      </c>
      <c r="Z42" s="29">
        <v>114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74</v>
      </c>
      <c r="J43" s="29">
        <v>666</v>
      </c>
      <c r="K43" s="29">
        <v>37</v>
      </c>
      <c r="L43" s="33" t="s">
        <v>22</v>
      </c>
      <c r="M43" s="32" t="s">
        <v>22</v>
      </c>
      <c r="N43" s="29">
        <v>0</v>
      </c>
      <c r="O43" s="29">
        <v>40</v>
      </c>
      <c r="P43" s="29">
        <v>480</v>
      </c>
      <c r="Q43" s="29">
        <v>17</v>
      </c>
      <c r="R43" s="33" t="s">
        <v>23</v>
      </c>
      <c r="S43" s="32" t="s">
        <v>23</v>
      </c>
      <c r="T43" s="29">
        <v>32</v>
      </c>
      <c r="U43" s="29">
        <v>32</v>
      </c>
      <c r="V43" s="29">
        <v>576</v>
      </c>
      <c r="W43" s="29">
        <v>16</v>
      </c>
      <c r="X43" s="33" t="s">
        <v>23</v>
      </c>
      <c r="Y43" s="29">
        <v>1722</v>
      </c>
      <c r="Z43" s="29">
        <v>70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37</v>
      </c>
      <c r="J44" s="29">
        <v>333</v>
      </c>
      <c r="K44" s="29">
        <v>0</v>
      </c>
      <c r="L44" s="33" t="s">
        <v>22</v>
      </c>
      <c r="M44" s="32" t="s">
        <v>22</v>
      </c>
      <c r="N44" s="29">
        <v>0</v>
      </c>
      <c r="O44" s="34">
        <v>17</v>
      </c>
      <c r="P44" s="29">
        <v>204</v>
      </c>
      <c r="Q44" s="29">
        <v>0</v>
      </c>
      <c r="R44" s="33" t="s">
        <v>22</v>
      </c>
      <c r="S44" s="32" t="s">
        <v>22</v>
      </c>
      <c r="T44" s="29">
        <v>0</v>
      </c>
      <c r="U44" s="29">
        <v>16</v>
      </c>
      <c r="V44" s="29">
        <v>288</v>
      </c>
      <c r="W44" s="29">
        <v>0</v>
      </c>
      <c r="X44" s="33" t="s">
        <v>22</v>
      </c>
      <c r="Y44" s="29">
        <v>825</v>
      </c>
      <c r="Z44" s="29">
        <v>0</v>
      </c>
    </row>
    <row r="45" spans="1:26" x14ac:dyDescent="0.35">
      <c r="F45" s="17">
        <v>43</v>
      </c>
      <c r="G45" s="43" t="s">
        <v>23</v>
      </c>
      <c r="H45" s="41">
        <v>111</v>
      </c>
      <c r="I45" s="41">
        <v>111</v>
      </c>
      <c r="J45" s="41">
        <v>999</v>
      </c>
      <c r="K45" s="41">
        <v>74</v>
      </c>
      <c r="L45" s="44" t="s">
        <v>23</v>
      </c>
      <c r="M45" s="43" t="s">
        <v>23</v>
      </c>
      <c r="N45" s="41">
        <v>86</v>
      </c>
      <c r="O45" s="41">
        <v>86</v>
      </c>
      <c r="P45" s="41">
        <v>1032</v>
      </c>
      <c r="Q45" s="41">
        <v>63</v>
      </c>
      <c r="R45" s="44" t="s">
        <v>22</v>
      </c>
      <c r="S45" s="43" t="s">
        <v>23</v>
      </c>
      <c r="T45" s="41">
        <v>32</v>
      </c>
      <c r="U45" s="41">
        <v>32</v>
      </c>
      <c r="V45" s="41">
        <v>576</v>
      </c>
      <c r="W45" s="41">
        <v>16</v>
      </c>
      <c r="X45" s="44" t="s">
        <v>23</v>
      </c>
      <c r="Y45" s="41">
        <v>2607</v>
      </c>
      <c r="Z45" s="29">
        <v>153</v>
      </c>
    </row>
    <row r="46" spans="1:26" x14ac:dyDescent="0.35">
      <c r="F46" s="2">
        <v>44</v>
      </c>
      <c r="G46" s="32" t="s">
        <v>22</v>
      </c>
      <c r="H46" s="29">
        <v>0</v>
      </c>
      <c r="I46" s="29">
        <v>74</v>
      </c>
      <c r="J46" s="29">
        <v>666</v>
      </c>
      <c r="K46" s="29">
        <v>37</v>
      </c>
      <c r="L46" s="33" t="s">
        <v>22</v>
      </c>
      <c r="M46" s="32" t="s">
        <v>22</v>
      </c>
      <c r="N46" s="29">
        <v>0</v>
      </c>
      <c r="O46" s="29">
        <v>63</v>
      </c>
      <c r="P46" s="29">
        <v>756</v>
      </c>
      <c r="Q46" s="29">
        <v>40</v>
      </c>
      <c r="R46" s="33" t="s">
        <v>22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1710</v>
      </c>
      <c r="Z46" s="29">
        <v>77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37</v>
      </c>
      <c r="J47" s="29">
        <v>333</v>
      </c>
      <c r="K47" s="29">
        <v>0</v>
      </c>
      <c r="L47" s="33" t="s">
        <v>22</v>
      </c>
      <c r="M47" s="32" t="s">
        <v>22</v>
      </c>
      <c r="N47" s="29">
        <v>0</v>
      </c>
      <c r="O47" s="29">
        <v>40</v>
      </c>
      <c r="P47" s="29">
        <v>480</v>
      </c>
      <c r="Q47" s="29">
        <v>17</v>
      </c>
      <c r="R47" s="33" t="s">
        <v>23</v>
      </c>
      <c r="S47" s="32" t="s">
        <v>23</v>
      </c>
      <c r="T47" s="29">
        <v>32</v>
      </c>
      <c r="U47" s="29">
        <v>32</v>
      </c>
      <c r="V47" s="29">
        <v>576</v>
      </c>
      <c r="W47" s="29">
        <v>16</v>
      </c>
      <c r="X47" s="33" t="s">
        <v>23</v>
      </c>
      <c r="Y47" s="29">
        <v>1389</v>
      </c>
      <c r="Z47" s="29">
        <v>33</v>
      </c>
    </row>
    <row r="48" spans="1:26" x14ac:dyDescent="0.35">
      <c r="F48" s="2">
        <v>46</v>
      </c>
      <c r="G48" s="32" t="s">
        <v>23</v>
      </c>
      <c r="H48" s="29">
        <v>111</v>
      </c>
      <c r="I48" s="29">
        <v>111</v>
      </c>
      <c r="J48" s="29">
        <v>999</v>
      </c>
      <c r="K48" s="29">
        <v>74</v>
      </c>
      <c r="L48" s="33" t="s">
        <v>23</v>
      </c>
      <c r="M48" s="32" t="s">
        <v>22</v>
      </c>
      <c r="N48" s="29">
        <v>0</v>
      </c>
      <c r="O48" s="34">
        <v>17</v>
      </c>
      <c r="P48" s="29">
        <v>204</v>
      </c>
      <c r="Q48" s="29">
        <v>0</v>
      </c>
      <c r="R48" s="33" t="s">
        <v>22</v>
      </c>
      <c r="S48" s="32" t="s">
        <v>22</v>
      </c>
      <c r="T48" s="29">
        <v>0</v>
      </c>
      <c r="U48" s="29">
        <v>16</v>
      </c>
      <c r="V48" s="29">
        <v>288</v>
      </c>
      <c r="W48" s="29">
        <v>0</v>
      </c>
      <c r="X48" s="33" t="s">
        <v>22</v>
      </c>
      <c r="Y48" s="29">
        <v>1491</v>
      </c>
      <c r="Z48" s="29">
        <v>74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74</v>
      </c>
      <c r="J49" s="29">
        <v>666</v>
      </c>
      <c r="K49" s="29">
        <v>37</v>
      </c>
      <c r="L49" s="33" t="s">
        <v>22</v>
      </c>
      <c r="M49" s="32" t="s">
        <v>23</v>
      </c>
      <c r="N49" s="29">
        <v>86</v>
      </c>
      <c r="O49" s="29">
        <v>86</v>
      </c>
      <c r="P49" s="29">
        <v>1032</v>
      </c>
      <c r="Q49" s="29">
        <v>63</v>
      </c>
      <c r="R49" s="33" t="s">
        <v>22</v>
      </c>
      <c r="S49" s="32" t="s">
        <v>23</v>
      </c>
      <c r="T49" s="29">
        <v>32</v>
      </c>
      <c r="U49" s="29">
        <v>32</v>
      </c>
      <c r="V49" s="29">
        <v>576</v>
      </c>
      <c r="W49" s="29">
        <v>16</v>
      </c>
      <c r="X49" s="33" t="s">
        <v>23</v>
      </c>
      <c r="Y49" s="29">
        <v>2274</v>
      </c>
      <c r="Z49" s="29">
        <v>116</v>
      </c>
    </row>
    <row r="50" spans="6:26" x14ac:dyDescent="0.35">
      <c r="F50" s="2">
        <v>48</v>
      </c>
      <c r="G50" s="32" t="s">
        <v>22</v>
      </c>
      <c r="H50" s="29">
        <v>0</v>
      </c>
      <c r="I50" s="29">
        <v>37</v>
      </c>
      <c r="J50" s="29">
        <v>333</v>
      </c>
      <c r="K50" s="29">
        <v>0</v>
      </c>
      <c r="L50" s="33" t="s">
        <v>22</v>
      </c>
      <c r="M50" s="32" t="s">
        <v>22</v>
      </c>
      <c r="N50" s="29">
        <v>0</v>
      </c>
      <c r="O50" s="29">
        <v>63</v>
      </c>
      <c r="P50" s="29">
        <v>756</v>
      </c>
      <c r="Q50" s="29">
        <v>40</v>
      </c>
      <c r="R50" s="33" t="s">
        <v>22</v>
      </c>
      <c r="S50" s="32" t="s">
        <v>22</v>
      </c>
      <c r="T50" s="29">
        <v>0</v>
      </c>
      <c r="U50" s="29">
        <v>16</v>
      </c>
      <c r="V50" s="29">
        <v>288</v>
      </c>
      <c r="W50" s="29">
        <v>0</v>
      </c>
      <c r="X50" s="33" t="s">
        <v>22</v>
      </c>
      <c r="Y50" s="29">
        <v>1377</v>
      </c>
      <c r="Z50" s="29">
        <v>40</v>
      </c>
    </row>
    <row r="51" spans="6:26" x14ac:dyDescent="0.35">
      <c r="F51" s="2">
        <v>49</v>
      </c>
      <c r="G51" s="32" t="s">
        <v>23</v>
      </c>
      <c r="H51" s="29">
        <v>111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22</v>
      </c>
      <c r="N51" s="29">
        <v>0</v>
      </c>
      <c r="O51" s="29">
        <v>40</v>
      </c>
      <c r="P51" s="29">
        <v>480</v>
      </c>
      <c r="Q51" s="29">
        <v>17</v>
      </c>
      <c r="R51" s="33" t="s">
        <v>23</v>
      </c>
      <c r="S51" s="32" t="s">
        <v>23</v>
      </c>
      <c r="T51" s="29">
        <v>32</v>
      </c>
      <c r="U51" s="29">
        <v>32</v>
      </c>
      <c r="V51" s="29">
        <v>576</v>
      </c>
      <c r="W51" s="29">
        <v>16</v>
      </c>
      <c r="X51" s="33" t="s">
        <v>23</v>
      </c>
      <c r="Y51" s="29">
        <v>2055</v>
      </c>
      <c r="Z51" s="29">
        <v>107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34">
        <v>17</v>
      </c>
      <c r="P52" s="29">
        <v>204</v>
      </c>
      <c r="Q52" s="29">
        <v>0</v>
      </c>
      <c r="R52" s="33" t="s">
        <v>22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1158</v>
      </c>
      <c r="Z52" s="29">
        <v>37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9FAC-98DB-4AE4-B89D-AF230830DA47}">
  <sheetPr codeName="Sheet8"/>
  <dimension ref="A1:Z53"/>
  <sheetViews>
    <sheetView topLeftCell="A3" zoomScale="90" zoomScaleNormal="90" workbookViewId="0">
      <selection activeCell="O8" sqref="O8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111</v>
      </c>
      <c r="C3" s="16">
        <v>77</v>
      </c>
      <c r="D3" s="16">
        <v>32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23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24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22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23</v>
      </c>
      <c r="N5" s="29">
        <v>77</v>
      </c>
      <c r="O5" s="29">
        <v>78</v>
      </c>
      <c r="P5" s="29">
        <v>936</v>
      </c>
      <c r="Q5" s="29">
        <v>55</v>
      </c>
      <c r="R5" s="33" t="s">
        <v>22</v>
      </c>
      <c r="S5" s="32" t="s">
        <v>23</v>
      </c>
      <c r="T5" s="29">
        <v>32</v>
      </c>
      <c r="U5" s="29">
        <v>32</v>
      </c>
      <c r="V5" s="29">
        <v>576</v>
      </c>
      <c r="W5" s="29">
        <v>16</v>
      </c>
      <c r="X5" s="33" t="s">
        <v>23</v>
      </c>
      <c r="Y5" s="29">
        <v>1845</v>
      </c>
      <c r="Z5" s="29">
        <v>71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111</v>
      </c>
      <c r="I6" s="29">
        <v>111</v>
      </c>
      <c r="J6" s="29">
        <v>999</v>
      </c>
      <c r="K6" s="29">
        <v>74</v>
      </c>
      <c r="L6" s="33" t="s">
        <v>23</v>
      </c>
      <c r="M6" s="32" t="s">
        <v>22</v>
      </c>
      <c r="N6" s="29">
        <v>0</v>
      </c>
      <c r="O6" s="29">
        <v>55</v>
      </c>
      <c r="P6" s="29">
        <v>660</v>
      </c>
      <c r="Q6" s="29">
        <v>32</v>
      </c>
      <c r="R6" s="33" t="s">
        <v>22</v>
      </c>
      <c r="S6" s="32" t="s">
        <v>22</v>
      </c>
      <c r="T6" s="29">
        <v>0</v>
      </c>
      <c r="U6" s="29">
        <v>16</v>
      </c>
      <c r="V6" s="29">
        <v>288</v>
      </c>
      <c r="W6" s="29">
        <v>0</v>
      </c>
      <c r="X6" s="33" t="s">
        <v>22</v>
      </c>
      <c r="Y6" s="29">
        <v>1947</v>
      </c>
      <c r="Z6" s="29">
        <v>106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74</v>
      </c>
      <c r="J7" s="29">
        <v>666</v>
      </c>
      <c r="K7" s="29">
        <v>37</v>
      </c>
      <c r="L7" s="33" t="s">
        <v>22</v>
      </c>
      <c r="M7" s="32" t="s">
        <v>22</v>
      </c>
      <c r="N7" s="29">
        <v>0</v>
      </c>
      <c r="O7" s="29">
        <v>32</v>
      </c>
      <c r="P7" s="29">
        <v>384</v>
      </c>
      <c r="Q7" s="29">
        <v>9</v>
      </c>
      <c r="R7" s="33" t="s">
        <v>23</v>
      </c>
      <c r="S7" s="32" t="s">
        <v>23</v>
      </c>
      <c r="T7" s="29">
        <v>32</v>
      </c>
      <c r="U7" s="29">
        <v>32</v>
      </c>
      <c r="V7" s="29">
        <v>576</v>
      </c>
      <c r="W7" s="29">
        <v>16</v>
      </c>
      <c r="X7" s="33" t="s">
        <v>23</v>
      </c>
      <c r="Y7" s="29">
        <v>1626</v>
      </c>
      <c r="Z7" s="29">
        <v>62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37</v>
      </c>
      <c r="J8" s="29">
        <v>333</v>
      </c>
      <c r="K8" s="29">
        <v>0</v>
      </c>
      <c r="L8" s="33" t="s">
        <v>22</v>
      </c>
      <c r="M8" s="32" t="s">
        <v>22</v>
      </c>
      <c r="N8" s="29">
        <v>0</v>
      </c>
      <c r="O8" s="34">
        <v>9</v>
      </c>
      <c r="P8" s="29">
        <v>108</v>
      </c>
      <c r="Q8" s="29">
        <v>0</v>
      </c>
      <c r="R8" s="33" t="s">
        <v>22</v>
      </c>
      <c r="S8" s="32" t="s">
        <v>22</v>
      </c>
      <c r="T8" s="29">
        <v>0</v>
      </c>
      <c r="U8" s="29">
        <v>16</v>
      </c>
      <c r="V8" s="29">
        <v>288</v>
      </c>
      <c r="W8" s="29">
        <v>0</v>
      </c>
      <c r="X8" s="33" t="s">
        <v>22</v>
      </c>
      <c r="Y8" s="29">
        <v>729</v>
      </c>
      <c r="Z8" s="29">
        <v>0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23</v>
      </c>
      <c r="H9" s="29">
        <v>111</v>
      </c>
      <c r="I9" s="29">
        <v>111</v>
      </c>
      <c r="J9" s="29">
        <v>999</v>
      </c>
      <c r="K9" s="29">
        <v>74</v>
      </c>
      <c r="L9" s="33" t="s">
        <v>23</v>
      </c>
      <c r="M9" s="32" t="s">
        <v>23</v>
      </c>
      <c r="N9" s="29">
        <v>77</v>
      </c>
      <c r="O9" s="29">
        <v>77</v>
      </c>
      <c r="P9" s="29">
        <v>924</v>
      </c>
      <c r="Q9" s="29">
        <v>54</v>
      </c>
      <c r="R9" s="33" t="s">
        <v>22</v>
      </c>
      <c r="S9" s="32" t="s">
        <v>23</v>
      </c>
      <c r="T9" s="29">
        <v>32</v>
      </c>
      <c r="U9" s="29">
        <v>32</v>
      </c>
      <c r="V9" s="29">
        <v>576</v>
      </c>
      <c r="W9" s="29">
        <v>16</v>
      </c>
      <c r="X9" s="33" t="s">
        <v>23</v>
      </c>
      <c r="Y9" s="29">
        <v>2499</v>
      </c>
      <c r="Z9" s="29">
        <v>144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22</v>
      </c>
      <c r="H10" s="29">
        <v>0</v>
      </c>
      <c r="I10" s="29">
        <v>74</v>
      </c>
      <c r="J10" s="29">
        <v>666</v>
      </c>
      <c r="K10" s="29">
        <v>37</v>
      </c>
      <c r="L10" s="33" t="s">
        <v>22</v>
      </c>
      <c r="M10" s="32" t="s">
        <v>22</v>
      </c>
      <c r="N10" s="29">
        <v>0</v>
      </c>
      <c r="O10" s="29">
        <v>54</v>
      </c>
      <c r="P10" s="29">
        <v>648</v>
      </c>
      <c r="Q10" s="29">
        <v>31</v>
      </c>
      <c r="R10" s="33" t="s">
        <v>22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1602</v>
      </c>
      <c r="Z10" s="29">
        <v>68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37</v>
      </c>
      <c r="J11" s="29">
        <v>333</v>
      </c>
      <c r="K11" s="29">
        <v>0</v>
      </c>
      <c r="L11" s="33" t="s">
        <v>22</v>
      </c>
      <c r="M11" s="32" t="s">
        <v>22</v>
      </c>
      <c r="N11" s="29">
        <v>0</v>
      </c>
      <c r="O11" s="29">
        <v>31</v>
      </c>
      <c r="P11" s="29">
        <v>372</v>
      </c>
      <c r="Q11" s="29">
        <v>8</v>
      </c>
      <c r="R11" s="33" t="s">
        <v>23</v>
      </c>
      <c r="S11" s="32" t="s">
        <v>23</v>
      </c>
      <c r="T11" s="29">
        <v>32</v>
      </c>
      <c r="U11" s="29">
        <v>32</v>
      </c>
      <c r="V11" s="29">
        <v>576</v>
      </c>
      <c r="W11" s="29">
        <v>16</v>
      </c>
      <c r="X11" s="33" t="s">
        <v>23</v>
      </c>
      <c r="Y11" s="29">
        <v>1281</v>
      </c>
      <c r="Z11" s="29">
        <v>24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23</v>
      </c>
      <c r="H12" s="29">
        <v>111</v>
      </c>
      <c r="I12" s="29">
        <v>111</v>
      </c>
      <c r="J12" s="29">
        <v>999</v>
      </c>
      <c r="K12" s="29">
        <v>74</v>
      </c>
      <c r="L12" s="33" t="s">
        <v>23</v>
      </c>
      <c r="M12" s="32" t="s">
        <v>22</v>
      </c>
      <c r="N12" s="29">
        <v>0</v>
      </c>
      <c r="O12" s="34">
        <v>8</v>
      </c>
      <c r="P12" s="29">
        <v>96</v>
      </c>
      <c r="Q12" s="29">
        <v>0</v>
      </c>
      <c r="R12" s="33" t="s">
        <v>22</v>
      </c>
      <c r="S12" s="32" t="s">
        <v>22</v>
      </c>
      <c r="T12" s="29">
        <v>0</v>
      </c>
      <c r="U12" s="29">
        <v>16</v>
      </c>
      <c r="V12" s="29">
        <v>288</v>
      </c>
      <c r="W12" s="29">
        <v>0</v>
      </c>
      <c r="X12" s="33" t="s">
        <v>22</v>
      </c>
      <c r="Y12" s="29">
        <v>1383</v>
      </c>
      <c r="Z12" s="29">
        <v>74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74</v>
      </c>
      <c r="J13" s="29">
        <v>666</v>
      </c>
      <c r="K13" s="29">
        <v>37</v>
      </c>
      <c r="L13" s="33" t="s">
        <v>22</v>
      </c>
      <c r="M13" s="32" t="s">
        <v>23</v>
      </c>
      <c r="N13" s="29">
        <v>77</v>
      </c>
      <c r="O13" s="29">
        <v>77</v>
      </c>
      <c r="P13" s="29">
        <v>924</v>
      </c>
      <c r="Q13" s="29">
        <v>54</v>
      </c>
      <c r="R13" s="33" t="s">
        <v>22</v>
      </c>
      <c r="S13" s="32" t="s">
        <v>23</v>
      </c>
      <c r="T13" s="29">
        <v>32</v>
      </c>
      <c r="U13" s="29">
        <v>32</v>
      </c>
      <c r="V13" s="29">
        <v>576</v>
      </c>
      <c r="W13" s="29">
        <v>16</v>
      </c>
      <c r="X13" s="33" t="s">
        <v>23</v>
      </c>
      <c r="Y13" s="29">
        <v>2166</v>
      </c>
      <c r="Z13" s="29">
        <v>107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22</v>
      </c>
      <c r="H14" s="29">
        <v>0</v>
      </c>
      <c r="I14" s="29">
        <v>37</v>
      </c>
      <c r="J14" s="29">
        <v>333</v>
      </c>
      <c r="K14" s="29">
        <v>0</v>
      </c>
      <c r="L14" s="33" t="s">
        <v>22</v>
      </c>
      <c r="M14" s="32" t="s">
        <v>22</v>
      </c>
      <c r="N14" s="29">
        <v>0</v>
      </c>
      <c r="O14" s="29">
        <v>54</v>
      </c>
      <c r="P14" s="29">
        <v>648</v>
      </c>
      <c r="Q14" s="29">
        <v>31</v>
      </c>
      <c r="R14" s="33" t="s">
        <v>22</v>
      </c>
      <c r="S14" s="32" t="s">
        <v>22</v>
      </c>
      <c r="T14" s="29">
        <v>0</v>
      </c>
      <c r="U14" s="29">
        <v>16</v>
      </c>
      <c r="V14" s="29">
        <v>288</v>
      </c>
      <c r="W14" s="29">
        <v>0</v>
      </c>
      <c r="X14" s="33" t="s">
        <v>22</v>
      </c>
      <c r="Y14" s="29">
        <v>1269</v>
      </c>
      <c r="Z14" s="29">
        <v>31</v>
      </c>
    </row>
    <row r="15" spans="1:26" ht="15" thickBot="1" x14ac:dyDescent="0.4">
      <c r="A15" s="19" t="s">
        <v>28</v>
      </c>
      <c r="B15" s="26">
        <v>1776</v>
      </c>
      <c r="C15" s="26">
        <v>924</v>
      </c>
      <c r="D15" s="26">
        <v>768</v>
      </c>
      <c r="E15" s="37">
        <v>3468</v>
      </c>
      <c r="F15" s="2">
        <v>13</v>
      </c>
      <c r="G15" s="32" t="s">
        <v>23</v>
      </c>
      <c r="H15" s="29">
        <v>111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22</v>
      </c>
      <c r="N15" s="29">
        <v>0</v>
      </c>
      <c r="O15" s="29">
        <v>31</v>
      </c>
      <c r="P15" s="29">
        <v>372</v>
      </c>
      <c r="Q15" s="29">
        <v>8</v>
      </c>
      <c r="R15" s="33" t="s">
        <v>23</v>
      </c>
      <c r="S15" s="32" t="s">
        <v>23</v>
      </c>
      <c r="T15" s="29">
        <v>32</v>
      </c>
      <c r="U15" s="29">
        <v>32</v>
      </c>
      <c r="V15" s="29">
        <v>576</v>
      </c>
      <c r="W15" s="29">
        <v>16</v>
      </c>
      <c r="X15" s="33" t="s">
        <v>23</v>
      </c>
      <c r="Y15" s="29">
        <v>1947</v>
      </c>
      <c r="Z15" s="29">
        <v>98</v>
      </c>
    </row>
    <row r="16" spans="1:26" ht="15" thickBot="1" x14ac:dyDescent="0.4">
      <c r="A16" s="18" t="s">
        <v>27</v>
      </c>
      <c r="B16" s="27">
        <v>16</v>
      </c>
      <c r="C16" s="27">
        <v>12</v>
      </c>
      <c r="D16" s="28">
        <v>24</v>
      </c>
      <c r="E16" s="37">
        <v>52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34">
        <v>8</v>
      </c>
      <c r="P16" s="29">
        <v>96</v>
      </c>
      <c r="Q16" s="29">
        <v>0</v>
      </c>
      <c r="R16" s="33" t="s">
        <v>22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1050</v>
      </c>
      <c r="Z16" s="29">
        <v>37</v>
      </c>
    </row>
    <row r="17" spans="1:26" ht="15" thickBot="1" x14ac:dyDescent="0.4">
      <c r="A17" s="11" t="s">
        <v>24</v>
      </c>
      <c r="B17" s="24">
        <v>1600</v>
      </c>
      <c r="C17" s="24">
        <v>1800</v>
      </c>
      <c r="D17" s="24">
        <v>1200</v>
      </c>
      <c r="E17" s="25">
        <v>4600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23</v>
      </c>
      <c r="N17" s="29">
        <v>77</v>
      </c>
      <c r="O17" s="29">
        <v>77</v>
      </c>
      <c r="P17" s="29">
        <v>924</v>
      </c>
      <c r="Q17" s="29">
        <v>54</v>
      </c>
      <c r="R17" s="33" t="s">
        <v>22</v>
      </c>
      <c r="S17" s="32" t="s">
        <v>23</v>
      </c>
      <c r="T17" s="29">
        <v>32</v>
      </c>
      <c r="U17" s="29">
        <v>32</v>
      </c>
      <c r="V17" s="29">
        <v>576</v>
      </c>
      <c r="W17" s="29">
        <v>16</v>
      </c>
      <c r="X17" s="33" t="s">
        <v>23</v>
      </c>
      <c r="Y17" s="29">
        <v>1833</v>
      </c>
      <c r="Z17" s="29">
        <v>70</v>
      </c>
    </row>
    <row r="18" spans="1:26" ht="15" thickBot="1" x14ac:dyDescent="0.4">
      <c r="A18" s="11" t="s">
        <v>29</v>
      </c>
      <c r="B18" s="24">
        <v>88800</v>
      </c>
      <c r="C18" s="24">
        <v>323400</v>
      </c>
      <c r="D18" s="24">
        <v>65280</v>
      </c>
      <c r="E18" s="25">
        <v>477480</v>
      </c>
      <c r="F18" s="2">
        <v>16</v>
      </c>
      <c r="G18" s="32" t="s">
        <v>23</v>
      </c>
      <c r="H18" s="29">
        <v>111</v>
      </c>
      <c r="I18" s="29">
        <v>111</v>
      </c>
      <c r="J18" s="29">
        <v>999</v>
      </c>
      <c r="K18" s="29">
        <v>74</v>
      </c>
      <c r="L18" s="33" t="s">
        <v>23</v>
      </c>
      <c r="M18" s="32" t="s">
        <v>22</v>
      </c>
      <c r="N18" s="29">
        <v>0</v>
      </c>
      <c r="O18" s="29">
        <v>54</v>
      </c>
      <c r="P18" s="29">
        <v>648</v>
      </c>
      <c r="Q18" s="29">
        <v>31</v>
      </c>
      <c r="R18" s="33" t="s">
        <v>22</v>
      </c>
      <c r="S18" s="32" t="s">
        <v>22</v>
      </c>
      <c r="T18" s="29">
        <v>0</v>
      </c>
      <c r="U18" s="29">
        <v>16</v>
      </c>
      <c r="V18" s="29">
        <v>288</v>
      </c>
      <c r="W18" s="29">
        <v>0</v>
      </c>
      <c r="X18" s="33" t="s">
        <v>22</v>
      </c>
      <c r="Y18" s="29">
        <v>1935</v>
      </c>
      <c r="Z18" s="29">
        <v>105</v>
      </c>
    </row>
    <row r="19" spans="1:26" ht="15" thickBot="1" x14ac:dyDescent="0.4">
      <c r="A19" s="20" t="s">
        <v>30</v>
      </c>
      <c r="B19" s="25">
        <v>471.75</v>
      </c>
      <c r="C19" s="25">
        <v>2002</v>
      </c>
      <c r="D19" s="25">
        <v>170.00000000000003</v>
      </c>
      <c r="E19" s="25">
        <v>2643.75</v>
      </c>
      <c r="F19" s="2">
        <v>17</v>
      </c>
      <c r="G19" s="32" t="s">
        <v>22</v>
      </c>
      <c r="H19" s="29">
        <v>0</v>
      </c>
      <c r="I19" s="29">
        <v>74</v>
      </c>
      <c r="J19" s="29">
        <v>666</v>
      </c>
      <c r="K19" s="29">
        <v>37</v>
      </c>
      <c r="L19" s="33" t="s">
        <v>22</v>
      </c>
      <c r="M19" s="32" t="s">
        <v>22</v>
      </c>
      <c r="N19" s="29">
        <v>0</v>
      </c>
      <c r="O19" s="29">
        <v>31</v>
      </c>
      <c r="P19" s="29">
        <v>372</v>
      </c>
      <c r="Q19" s="29">
        <v>8</v>
      </c>
      <c r="R19" s="33" t="s">
        <v>23</v>
      </c>
      <c r="S19" s="32" t="s">
        <v>23</v>
      </c>
      <c r="T19" s="29">
        <v>32</v>
      </c>
      <c r="U19" s="29">
        <v>32</v>
      </c>
      <c r="V19" s="29">
        <v>576</v>
      </c>
      <c r="W19" s="29">
        <v>16</v>
      </c>
      <c r="X19" s="33" t="s">
        <v>23</v>
      </c>
      <c r="Y19" s="29">
        <v>1614</v>
      </c>
      <c r="Z19" s="29">
        <v>61</v>
      </c>
    </row>
    <row r="20" spans="1:26" ht="15" thickBot="1" x14ac:dyDescent="0.4">
      <c r="A20" s="23" t="s">
        <v>32</v>
      </c>
      <c r="B20" s="67">
        <v>3431</v>
      </c>
      <c r="C20" s="68"/>
      <c r="D20" s="69"/>
      <c r="F20" s="2">
        <v>18</v>
      </c>
      <c r="G20" s="32" t="s">
        <v>22</v>
      </c>
      <c r="H20" s="29">
        <v>0</v>
      </c>
      <c r="I20" s="29">
        <v>37</v>
      </c>
      <c r="J20" s="29">
        <v>333</v>
      </c>
      <c r="K20" s="29">
        <v>0</v>
      </c>
      <c r="L20" s="33" t="s">
        <v>22</v>
      </c>
      <c r="M20" s="32" t="s">
        <v>22</v>
      </c>
      <c r="N20" s="29">
        <v>0</v>
      </c>
      <c r="O20" s="34">
        <v>8</v>
      </c>
      <c r="P20" s="29">
        <v>96</v>
      </c>
      <c r="Q20" s="29">
        <v>0</v>
      </c>
      <c r="R20" s="33" t="s">
        <v>22</v>
      </c>
      <c r="S20" s="32" t="s">
        <v>22</v>
      </c>
      <c r="T20" s="29">
        <v>0</v>
      </c>
      <c r="U20" s="29">
        <v>16</v>
      </c>
      <c r="V20" s="29">
        <v>288</v>
      </c>
      <c r="W20" s="29">
        <v>0</v>
      </c>
      <c r="X20" s="33" t="s">
        <v>22</v>
      </c>
      <c r="Y20" s="29">
        <v>717</v>
      </c>
      <c r="Z20" s="29">
        <v>0</v>
      </c>
    </row>
    <row r="21" spans="1:26" ht="15" thickBot="1" x14ac:dyDescent="0.4">
      <c r="A21" s="21" t="s">
        <v>25</v>
      </c>
      <c r="B21" s="63">
        <v>484723.75</v>
      </c>
      <c r="C21" s="64"/>
      <c r="D21" s="65"/>
      <c r="F21" s="2">
        <v>19</v>
      </c>
      <c r="G21" s="32" t="s">
        <v>23</v>
      </c>
      <c r="H21" s="29">
        <v>111</v>
      </c>
      <c r="I21" s="29">
        <v>111</v>
      </c>
      <c r="J21" s="29">
        <v>999</v>
      </c>
      <c r="K21" s="29">
        <v>74</v>
      </c>
      <c r="L21" s="33" t="s">
        <v>23</v>
      </c>
      <c r="M21" s="32" t="s">
        <v>23</v>
      </c>
      <c r="N21" s="29">
        <v>77</v>
      </c>
      <c r="O21" s="29">
        <v>77</v>
      </c>
      <c r="P21" s="29">
        <v>924</v>
      </c>
      <c r="Q21" s="29">
        <v>54</v>
      </c>
      <c r="R21" s="33" t="s">
        <v>22</v>
      </c>
      <c r="S21" s="32" t="s">
        <v>23</v>
      </c>
      <c r="T21" s="29">
        <v>32</v>
      </c>
      <c r="U21" s="29">
        <v>32</v>
      </c>
      <c r="V21" s="29">
        <v>576</v>
      </c>
      <c r="W21" s="29">
        <v>16</v>
      </c>
      <c r="X21" s="33" t="s">
        <v>23</v>
      </c>
      <c r="Y21" s="29">
        <v>2499</v>
      </c>
      <c r="Z21" s="29">
        <v>144</v>
      </c>
    </row>
    <row r="22" spans="1:26" ht="15" thickBot="1" x14ac:dyDescent="0.4">
      <c r="A22" s="22" t="s">
        <v>20</v>
      </c>
      <c r="B22" s="54">
        <v>0</v>
      </c>
      <c r="C22" s="55"/>
      <c r="D22" s="56"/>
      <c r="F22" s="2">
        <v>20</v>
      </c>
      <c r="G22" s="32" t="s">
        <v>22</v>
      </c>
      <c r="H22" s="29">
        <v>0</v>
      </c>
      <c r="I22" s="29">
        <v>74</v>
      </c>
      <c r="J22" s="29">
        <v>666</v>
      </c>
      <c r="K22" s="29">
        <v>37</v>
      </c>
      <c r="L22" s="33" t="s">
        <v>22</v>
      </c>
      <c r="M22" s="32" t="s">
        <v>22</v>
      </c>
      <c r="N22" s="29">
        <v>0</v>
      </c>
      <c r="O22" s="29">
        <v>54</v>
      </c>
      <c r="P22" s="29">
        <v>648</v>
      </c>
      <c r="Q22" s="29">
        <v>31</v>
      </c>
      <c r="R22" s="33" t="s">
        <v>22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1602</v>
      </c>
      <c r="Z22" s="29">
        <v>68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37</v>
      </c>
      <c r="J23" s="29">
        <v>333</v>
      </c>
      <c r="K23" s="29">
        <v>0</v>
      </c>
      <c r="L23" s="33" t="s">
        <v>22</v>
      </c>
      <c r="M23" s="32" t="s">
        <v>22</v>
      </c>
      <c r="N23" s="29">
        <v>0</v>
      </c>
      <c r="O23" s="29">
        <v>31</v>
      </c>
      <c r="P23" s="29">
        <v>372</v>
      </c>
      <c r="Q23" s="29">
        <v>8</v>
      </c>
      <c r="R23" s="33" t="s">
        <v>23</v>
      </c>
      <c r="S23" s="32" t="s">
        <v>23</v>
      </c>
      <c r="T23" s="29">
        <v>32</v>
      </c>
      <c r="U23" s="29">
        <v>32</v>
      </c>
      <c r="V23" s="29">
        <v>576</v>
      </c>
      <c r="W23" s="29">
        <v>16</v>
      </c>
      <c r="X23" s="33" t="s">
        <v>23</v>
      </c>
      <c r="Y23" s="29">
        <v>1281</v>
      </c>
      <c r="Z23" s="29">
        <v>24</v>
      </c>
    </row>
    <row r="24" spans="1:26" x14ac:dyDescent="0.35">
      <c r="A24" s="38" t="s">
        <v>9</v>
      </c>
      <c r="B24" s="30"/>
      <c r="C24" s="30"/>
      <c r="D24" s="30"/>
      <c r="F24" s="2">
        <v>22</v>
      </c>
      <c r="G24" s="32" t="s">
        <v>23</v>
      </c>
      <c r="H24" s="29">
        <v>111</v>
      </c>
      <c r="I24" s="29">
        <v>111</v>
      </c>
      <c r="J24" s="29">
        <v>999</v>
      </c>
      <c r="K24" s="29">
        <v>74</v>
      </c>
      <c r="L24" s="33" t="s">
        <v>23</v>
      </c>
      <c r="M24" s="32" t="s">
        <v>22</v>
      </c>
      <c r="N24" s="29">
        <v>0</v>
      </c>
      <c r="O24" s="34">
        <v>8</v>
      </c>
      <c r="P24" s="29">
        <v>96</v>
      </c>
      <c r="Q24" s="29">
        <v>0</v>
      </c>
      <c r="R24" s="33" t="s">
        <v>22</v>
      </c>
      <c r="S24" s="32" t="s">
        <v>22</v>
      </c>
      <c r="T24" s="29">
        <v>0</v>
      </c>
      <c r="U24" s="29">
        <v>16</v>
      </c>
      <c r="V24" s="29">
        <v>288</v>
      </c>
      <c r="W24" s="29">
        <v>0</v>
      </c>
      <c r="X24" s="33" t="s">
        <v>22</v>
      </c>
      <c r="Y24" s="29">
        <v>1383</v>
      </c>
      <c r="Z24" s="29">
        <v>74</v>
      </c>
    </row>
    <row r="25" spans="1:26" x14ac:dyDescent="0.35">
      <c r="A25" s="38" t="s">
        <v>44</v>
      </c>
      <c r="F25" s="2">
        <v>23</v>
      </c>
      <c r="G25" s="32" t="s">
        <v>22</v>
      </c>
      <c r="H25" s="29">
        <v>0</v>
      </c>
      <c r="I25" s="29">
        <v>74</v>
      </c>
      <c r="J25" s="29">
        <v>666</v>
      </c>
      <c r="K25" s="29">
        <v>37</v>
      </c>
      <c r="L25" s="33" t="s">
        <v>22</v>
      </c>
      <c r="M25" s="32" t="s">
        <v>23</v>
      </c>
      <c r="N25" s="29">
        <v>77</v>
      </c>
      <c r="O25" s="29">
        <v>77</v>
      </c>
      <c r="P25" s="29">
        <v>924</v>
      </c>
      <c r="Q25" s="29">
        <v>54</v>
      </c>
      <c r="R25" s="33" t="s">
        <v>22</v>
      </c>
      <c r="S25" s="32" t="s">
        <v>23</v>
      </c>
      <c r="T25" s="29">
        <v>32</v>
      </c>
      <c r="U25" s="29">
        <v>32</v>
      </c>
      <c r="V25" s="29">
        <v>576</v>
      </c>
      <c r="W25" s="29">
        <v>16</v>
      </c>
      <c r="X25" s="33" t="s">
        <v>23</v>
      </c>
      <c r="Y25" s="29">
        <v>2166</v>
      </c>
      <c r="Z25" s="29">
        <v>107</v>
      </c>
    </row>
    <row r="26" spans="1:26" x14ac:dyDescent="0.35">
      <c r="A26" s="38"/>
      <c r="F26" s="2">
        <v>24</v>
      </c>
      <c r="G26" s="32" t="s">
        <v>22</v>
      </c>
      <c r="H26" s="29">
        <v>0</v>
      </c>
      <c r="I26" s="29">
        <v>37</v>
      </c>
      <c r="J26" s="29">
        <v>333</v>
      </c>
      <c r="K26" s="29">
        <v>0</v>
      </c>
      <c r="L26" s="33" t="s">
        <v>22</v>
      </c>
      <c r="M26" s="32" t="s">
        <v>22</v>
      </c>
      <c r="N26" s="29">
        <v>0</v>
      </c>
      <c r="O26" s="29">
        <v>54</v>
      </c>
      <c r="P26" s="29">
        <v>648</v>
      </c>
      <c r="Q26" s="29">
        <v>31</v>
      </c>
      <c r="R26" s="33" t="s">
        <v>22</v>
      </c>
      <c r="S26" s="32" t="s">
        <v>22</v>
      </c>
      <c r="T26" s="29">
        <v>0</v>
      </c>
      <c r="U26" s="29">
        <v>16</v>
      </c>
      <c r="V26" s="29">
        <v>288</v>
      </c>
      <c r="W26" s="29">
        <v>0</v>
      </c>
      <c r="X26" s="33" t="s">
        <v>22</v>
      </c>
      <c r="Y26" s="29">
        <v>1269</v>
      </c>
      <c r="Z26" s="29">
        <v>31</v>
      </c>
    </row>
    <row r="27" spans="1:26" x14ac:dyDescent="0.35">
      <c r="A27" s="38"/>
      <c r="F27" s="2">
        <v>25</v>
      </c>
      <c r="G27" s="32" t="s">
        <v>23</v>
      </c>
      <c r="H27" s="29">
        <v>111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22</v>
      </c>
      <c r="N27" s="29">
        <v>0</v>
      </c>
      <c r="O27" s="29">
        <v>31</v>
      </c>
      <c r="P27" s="29">
        <v>372</v>
      </c>
      <c r="Q27" s="29">
        <v>8</v>
      </c>
      <c r="R27" s="33" t="s">
        <v>23</v>
      </c>
      <c r="S27" s="32" t="s">
        <v>23</v>
      </c>
      <c r="T27" s="29">
        <v>32</v>
      </c>
      <c r="U27" s="29">
        <v>32</v>
      </c>
      <c r="V27" s="29">
        <v>576</v>
      </c>
      <c r="W27" s="29">
        <v>16</v>
      </c>
      <c r="X27" s="33" t="s">
        <v>23</v>
      </c>
      <c r="Y27" s="29">
        <v>1947</v>
      </c>
      <c r="Z27" s="29">
        <v>98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34">
        <v>8</v>
      </c>
      <c r="P28" s="29">
        <v>96</v>
      </c>
      <c r="Q28" s="29">
        <v>0</v>
      </c>
      <c r="R28" s="33" t="s">
        <v>22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1050</v>
      </c>
      <c r="Z28" s="29">
        <v>37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23</v>
      </c>
      <c r="N29" s="29">
        <v>77</v>
      </c>
      <c r="O29" s="29">
        <v>77</v>
      </c>
      <c r="P29" s="29">
        <v>924</v>
      </c>
      <c r="Q29" s="29">
        <v>54</v>
      </c>
      <c r="R29" s="33" t="s">
        <v>22</v>
      </c>
      <c r="S29" s="32" t="s">
        <v>23</v>
      </c>
      <c r="T29" s="29">
        <v>32</v>
      </c>
      <c r="U29" s="29">
        <v>32</v>
      </c>
      <c r="V29" s="29">
        <v>576</v>
      </c>
      <c r="W29" s="29">
        <v>16</v>
      </c>
      <c r="X29" s="33" t="s">
        <v>23</v>
      </c>
      <c r="Y29" s="29">
        <v>1833</v>
      </c>
      <c r="Z29" s="29">
        <v>70</v>
      </c>
    </row>
    <row r="30" spans="1:26" x14ac:dyDescent="0.35">
      <c r="A30" s="38" t="s">
        <v>35</v>
      </c>
      <c r="B30" s="30">
        <f t="shared" ref="B30:D31" si="0">B3</f>
        <v>111</v>
      </c>
      <c r="C30" s="30">
        <f t="shared" si="0"/>
        <v>77</v>
      </c>
      <c r="D30" s="30">
        <f t="shared" si="0"/>
        <v>32</v>
      </c>
      <c r="F30" s="2">
        <v>28</v>
      </c>
      <c r="G30" s="32" t="s">
        <v>23</v>
      </c>
      <c r="H30" s="29">
        <v>111</v>
      </c>
      <c r="I30" s="29">
        <v>111</v>
      </c>
      <c r="J30" s="29">
        <v>999</v>
      </c>
      <c r="K30" s="29">
        <v>74</v>
      </c>
      <c r="L30" s="33" t="s">
        <v>23</v>
      </c>
      <c r="M30" s="32" t="s">
        <v>22</v>
      </c>
      <c r="N30" s="29">
        <v>0</v>
      </c>
      <c r="O30" s="29">
        <v>54</v>
      </c>
      <c r="P30" s="29">
        <v>648</v>
      </c>
      <c r="Q30" s="29">
        <v>31</v>
      </c>
      <c r="R30" s="33" t="s">
        <v>22</v>
      </c>
      <c r="S30" s="32" t="s">
        <v>22</v>
      </c>
      <c r="T30" s="29">
        <v>0</v>
      </c>
      <c r="U30" s="29">
        <v>16</v>
      </c>
      <c r="V30" s="29">
        <v>288</v>
      </c>
      <c r="W30" s="29">
        <v>0</v>
      </c>
      <c r="X30" s="33" t="s">
        <v>22</v>
      </c>
      <c r="Y30" s="29">
        <v>1935</v>
      </c>
      <c r="Z30" s="29">
        <v>105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24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74</v>
      </c>
      <c r="J31" s="29">
        <v>666</v>
      </c>
      <c r="K31" s="29">
        <v>37</v>
      </c>
      <c r="L31" s="33" t="s">
        <v>22</v>
      </c>
      <c r="M31" s="32" t="s">
        <v>22</v>
      </c>
      <c r="N31" s="29">
        <v>0</v>
      </c>
      <c r="O31" s="29">
        <v>31</v>
      </c>
      <c r="P31" s="29">
        <v>372</v>
      </c>
      <c r="Q31" s="29">
        <v>8</v>
      </c>
      <c r="R31" s="33" t="s">
        <v>23</v>
      </c>
      <c r="S31" s="32" t="s">
        <v>23</v>
      </c>
      <c r="T31" s="29">
        <v>32</v>
      </c>
      <c r="U31" s="29">
        <v>32</v>
      </c>
      <c r="V31" s="29">
        <v>576</v>
      </c>
      <c r="W31" s="29">
        <v>16</v>
      </c>
      <c r="X31" s="33" t="s">
        <v>23</v>
      </c>
      <c r="Y31" s="29">
        <v>1614</v>
      </c>
      <c r="Z31" s="29">
        <v>61</v>
      </c>
    </row>
    <row r="32" spans="1:26" x14ac:dyDescent="0.35">
      <c r="A32" s="38" t="s">
        <v>45</v>
      </c>
      <c r="B32" s="47">
        <f>B22-13</f>
        <v>-13</v>
      </c>
      <c r="E32" s="30"/>
      <c r="F32" s="2">
        <v>30</v>
      </c>
      <c r="G32" s="32" t="s">
        <v>22</v>
      </c>
      <c r="H32" s="29">
        <v>0</v>
      </c>
      <c r="I32" s="29">
        <v>37</v>
      </c>
      <c r="J32" s="29">
        <v>333</v>
      </c>
      <c r="K32" s="29">
        <v>0</v>
      </c>
      <c r="L32" s="33" t="s">
        <v>22</v>
      </c>
      <c r="M32" s="32" t="s">
        <v>22</v>
      </c>
      <c r="N32" s="29">
        <v>0</v>
      </c>
      <c r="O32" s="34">
        <v>8</v>
      </c>
      <c r="P32" s="29">
        <v>96</v>
      </c>
      <c r="Q32" s="29">
        <v>0</v>
      </c>
      <c r="R32" s="33" t="s">
        <v>22</v>
      </c>
      <c r="S32" s="32" t="s">
        <v>22</v>
      </c>
      <c r="T32" s="29">
        <v>0</v>
      </c>
      <c r="U32" s="29">
        <v>16</v>
      </c>
      <c r="V32" s="29">
        <v>288</v>
      </c>
      <c r="W32" s="29">
        <v>0</v>
      </c>
      <c r="X32" s="33" t="s">
        <v>22</v>
      </c>
      <c r="Y32" s="29">
        <v>717</v>
      </c>
      <c r="Z32" s="29">
        <v>0</v>
      </c>
    </row>
    <row r="33" spans="1:26" x14ac:dyDescent="0.35">
      <c r="A33" s="38" t="s">
        <v>46</v>
      </c>
      <c r="B33" s="45">
        <f>B21-507911.75</f>
        <v>-23188</v>
      </c>
      <c r="F33" s="2">
        <v>31</v>
      </c>
      <c r="G33" s="32" t="s">
        <v>23</v>
      </c>
      <c r="H33" s="29">
        <v>111</v>
      </c>
      <c r="I33" s="29">
        <v>111</v>
      </c>
      <c r="J33" s="29">
        <v>999</v>
      </c>
      <c r="K33" s="29">
        <v>74</v>
      </c>
      <c r="L33" s="33" t="s">
        <v>23</v>
      </c>
      <c r="M33" s="32" t="s">
        <v>23</v>
      </c>
      <c r="N33" s="29">
        <v>77</v>
      </c>
      <c r="O33" s="29">
        <v>77</v>
      </c>
      <c r="P33" s="29">
        <v>924</v>
      </c>
      <c r="Q33" s="29">
        <v>54</v>
      </c>
      <c r="R33" s="33" t="s">
        <v>22</v>
      </c>
      <c r="S33" s="32" t="s">
        <v>23</v>
      </c>
      <c r="T33" s="29">
        <v>32</v>
      </c>
      <c r="U33" s="29">
        <v>32</v>
      </c>
      <c r="V33" s="29">
        <v>576</v>
      </c>
      <c r="W33" s="29">
        <v>16</v>
      </c>
      <c r="X33" s="33" t="s">
        <v>23</v>
      </c>
      <c r="Y33" s="29">
        <v>2499</v>
      </c>
      <c r="Z33" s="29">
        <v>144</v>
      </c>
    </row>
    <row r="34" spans="1:26" x14ac:dyDescent="0.35">
      <c r="F34" s="2">
        <v>32</v>
      </c>
      <c r="G34" s="32" t="s">
        <v>22</v>
      </c>
      <c r="H34" s="29">
        <v>0</v>
      </c>
      <c r="I34" s="29">
        <v>74</v>
      </c>
      <c r="J34" s="29">
        <v>666</v>
      </c>
      <c r="K34" s="29">
        <v>37</v>
      </c>
      <c r="L34" s="33" t="s">
        <v>22</v>
      </c>
      <c r="M34" s="32" t="s">
        <v>22</v>
      </c>
      <c r="N34" s="29">
        <v>0</v>
      </c>
      <c r="O34" s="29">
        <v>54</v>
      </c>
      <c r="P34" s="29">
        <v>648</v>
      </c>
      <c r="Q34" s="29">
        <v>31</v>
      </c>
      <c r="R34" s="33" t="s">
        <v>22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1602</v>
      </c>
      <c r="Z34" s="29">
        <v>68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37</v>
      </c>
      <c r="J35" s="29">
        <v>333</v>
      </c>
      <c r="K35" s="29">
        <v>0</v>
      </c>
      <c r="L35" s="33" t="s">
        <v>22</v>
      </c>
      <c r="M35" s="32" t="s">
        <v>22</v>
      </c>
      <c r="N35" s="29">
        <v>0</v>
      </c>
      <c r="O35" s="29">
        <v>31</v>
      </c>
      <c r="P35" s="29">
        <v>372</v>
      </c>
      <c r="Q35" s="29">
        <v>8</v>
      </c>
      <c r="R35" s="33" t="s">
        <v>23</v>
      </c>
      <c r="S35" s="32" t="s">
        <v>23</v>
      </c>
      <c r="T35" s="29">
        <v>32</v>
      </c>
      <c r="U35" s="29">
        <v>32</v>
      </c>
      <c r="V35" s="29">
        <v>576</v>
      </c>
      <c r="W35" s="29">
        <v>16</v>
      </c>
      <c r="X35" s="33" t="s">
        <v>23</v>
      </c>
      <c r="Y35" s="29">
        <v>1281</v>
      </c>
      <c r="Z35" s="29">
        <v>24</v>
      </c>
    </row>
    <row r="36" spans="1:26" x14ac:dyDescent="0.35">
      <c r="A36" s="38" t="s">
        <v>41</v>
      </c>
      <c r="B36" s="34"/>
      <c r="F36" s="2">
        <v>34</v>
      </c>
      <c r="G36" s="32" t="s">
        <v>23</v>
      </c>
      <c r="H36" s="29">
        <v>111</v>
      </c>
      <c r="I36" s="29">
        <v>111</v>
      </c>
      <c r="J36" s="29">
        <v>999</v>
      </c>
      <c r="K36" s="29">
        <v>74</v>
      </c>
      <c r="L36" s="33" t="s">
        <v>23</v>
      </c>
      <c r="M36" s="32" t="s">
        <v>22</v>
      </c>
      <c r="N36" s="29">
        <v>0</v>
      </c>
      <c r="O36" s="34">
        <v>8</v>
      </c>
      <c r="P36" s="29">
        <v>96</v>
      </c>
      <c r="Q36" s="29">
        <v>0</v>
      </c>
      <c r="R36" s="33" t="s">
        <v>22</v>
      </c>
      <c r="S36" s="32" t="s">
        <v>22</v>
      </c>
      <c r="T36" s="29">
        <v>0</v>
      </c>
      <c r="U36" s="29">
        <v>16</v>
      </c>
      <c r="V36" s="29">
        <v>288</v>
      </c>
      <c r="W36" s="29">
        <v>0</v>
      </c>
      <c r="X36" s="33" t="s">
        <v>22</v>
      </c>
      <c r="Y36" s="29">
        <v>1383</v>
      </c>
      <c r="Z36" s="29">
        <v>74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74</v>
      </c>
      <c r="J37" s="29">
        <v>666</v>
      </c>
      <c r="K37" s="29">
        <v>37</v>
      </c>
      <c r="L37" s="33" t="s">
        <v>22</v>
      </c>
      <c r="M37" s="32" t="s">
        <v>23</v>
      </c>
      <c r="N37" s="29">
        <v>77</v>
      </c>
      <c r="O37" s="29">
        <v>77</v>
      </c>
      <c r="P37" s="29">
        <v>924</v>
      </c>
      <c r="Q37" s="29">
        <v>54</v>
      </c>
      <c r="R37" s="33" t="s">
        <v>22</v>
      </c>
      <c r="S37" s="32" t="s">
        <v>23</v>
      </c>
      <c r="T37" s="29">
        <v>32</v>
      </c>
      <c r="U37" s="29">
        <v>32</v>
      </c>
      <c r="V37" s="29">
        <v>576</v>
      </c>
      <c r="W37" s="29">
        <v>16</v>
      </c>
      <c r="X37" s="33" t="s">
        <v>23</v>
      </c>
      <c r="Y37" s="29">
        <v>2166</v>
      </c>
      <c r="Z37" s="29">
        <v>107</v>
      </c>
    </row>
    <row r="38" spans="1:26" x14ac:dyDescent="0.35">
      <c r="F38" s="2">
        <v>36</v>
      </c>
      <c r="G38" s="32" t="s">
        <v>22</v>
      </c>
      <c r="H38" s="29">
        <v>0</v>
      </c>
      <c r="I38" s="29">
        <v>37</v>
      </c>
      <c r="J38" s="29">
        <v>333</v>
      </c>
      <c r="K38" s="29">
        <v>0</v>
      </c>
      <c r="L38" s="33" t="s">
        <v>22</v>
      </c>
      <c r="M38" s="32" t="s">
        <v>22</v>
      </c>
      <c r="N38" s="29">
        <v>0</v>
      </c>
      <c r="O38" s="29">
        <v>54</v>
      </c>
      <c r="P38" s="29">
        <v>648</v>
      </c>
      <c r="Q38" s="29">
        <v>31</v>
      </c>
      <c r="R38" s="33" t="s">
        <v>22</v>
      </c>
      <c r="S38" s="32" t="s">
        <v>22</v>
      </c>
      <c r="T38" s="29">
        <v>0</v>
      </c>
      <c r="U38" s="29">
        <v>16</v>
      </c>
      <c r="V38" s="29">
        <v>288</v>
      </c>
      <c r="W38" s="29">
        <v>0</v>
      </c>
      <c r="X38" s="33" t="s">
        <v>22</v>
      </c>
      <c r="Y38" s="29">
        <v>1269</v>
      </c>
      <c r="Z38" s="29">
        <v>31</v>
      </c>
    </row>
    <row r="39" spans="1:26" x14ac:dyDescent="0.35">
      <c r="A39" s="29" t="s">
        <v>51</v>
      </c>
      <c r="B39" s="29">
        <f>181/1150</f>
        <v>0.15739130434782608</v>
      </c>
      <c r="C39" s="29" t="s">
        <v>52</v>
      </c>
      <c r="F39" s="2">
        <v>37</v>
      </c>
      <c r="G39" s="32" t="s">
        <v>23</v>
      </c>
      <c r="H39" s="29">
        <v>111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22</v>
      </c>
      <c r="N39" s="29">
        <v>0</v>
      </c>
      <c r="O39" s="29">
        <v>31</v>
      </c>
      <c r="P39" s="29">
        <v>372</v>
      </c>
      <c r="Q39" s="29">
        <v>8</v>
      </c>
      <c r="R39" s="33" t="s">
        <v>23</v>
      </c>
      <c r="S39" s="32" t="s">
        <v>23</v>
      </c>
      <c r="T39" s="29">
        <v>32</v>
      </c>
      <c r="U39" s="29">
        <v>32</v>
      </c>
      <c r="V39" s="29">
        <v>576</v>
      </c>
      <c r="W39" s="29">
        <v>16</v>
      </c>
      <c r="X39" s="33" t="s">
        <v>23</v>
      </c>
      <c r="Y39" s="29">
        <v>1947</v>
      </c>
      <c r="Z39" s="29">
        <v>98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34">
        <v>8</v>
      </c>
      <c r="P40" s="29">
        <v>96</v>
      </c>
      <c r="Q40" s="29">
        <v>0</v>
      </c>
      <c r="R40" s="33" t="s">
        <v>22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1050</v>
      </c>
      <c r="Z40" s="29">
        <v>37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23</v>
      </c>
      <c r="N41" s="29">
        <v>77</v>
      </c>
      <c r="O41" s="29">
        <v>77</v>
      </c>
      <c r="P41" s="29">
        <v>924</v>
      </c>
      <c r="Q41" s="29">
        <v>54</v>
      </c>
      <c r="R41" s="33" t="s">
        <v>22</v>
      </c>
      <c r="S41" s="32" t="s">
        <v>23</v>
      </c>
      <c r="T41" s="29">
        <v>32</v>
      </c>
      <c r="U41" s="29">
        <v>32</v>
      </c>
      <c r="V41" s="29">
        <v>576</v>
      </c>
      <c r="W41" s="29">
        <v>16</v>
      </c>
      <c r="X41" s="33" t="s">
        <v>23</v>
      </c>
      <c r="Y41" s="29">
        <v>1833</v>
      </c>
      <c r="Z41" s="29">
        <v>70</v>
      </c>
    </row>
    <row r="42" spans="1:26" x14ac:dyDescent="0.35">
      <c r="F42" s="2">
        <v>40</v>
      </c>
      <c r="G42" s="32" t="s">
        <v>23</v>
      </c>
      <c r="H42" s="29">
        <v>111</v>
      </c>
      <c r="I42" s="29">
        <v>111</v>
      </c>
      <c r="J42" s="29">
        <v>999</v>
      </c>
      <c r="K42" s="29">
        <v>74</v>
      </c>
      <c r="L42" s="33" t="s">
        <v>23</v>
      </c>
      <c r="M42" s="32" t="s">
        <v>22</v>
      </c>
      <c r="N42" s="29">
        <v>0</v>
      </c>
      <c r="O42" s="29">
        <v>54</v>
      </c>
      <c r="P42" s="29">
        <v>648</v>
      </c>
      <c r="Q42" s="29">
        <v>31</v>
      </c>
      <c r="R42" s="33" t="s">
        <v>22</v>
      </c>
      <c r="S42" s="32" t="s">
        <v>22</v>
      </c>
      <c r="T42" s="29">
        <v>0</v>
      </c>
      <c r="U42" s="29">
        <v>16</v>
      </c>
      <c r="V42" s="29">
        <v>288</v>
      </c>
      <c r="W42" s="29">
        <v>0</v>
      </c>
      <c r="X42" s="33" t="s">
        <v>22</v>
      </c>
      <c r="Y42" s="29">
        <v>1935</v>
      </c>
      <c r="Z42" s="29">
        <v>105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74</v>
      </c>
      <c r="J43" s="29">
        <v>666</v>
      </c>
      <c r="K43" s="29">
        <v>37</v>
      </c>
      <c r="L43" s="33" t="s">
        <v>22</v>
      </c>
      <c r="M43" s="32" t="s">
        <v>22</v>
      </c>
      <c r="N43" s="29">
        <v>0</v>
      </c>
      <c r="O43" s="29">
        <v>31</v>
      </c>
      <c r="P43" s="29">
        <v>372</v>
      </c>
      <c r="Q43" s="29">
        <v>8</v>
      </c>
      <c r="R43" s="33" t="s">
        <v>23</v>
      </c>
      <c r="S43" s="32" t="s">
        <v>23</v>
      </c>
      <c r="T43" s="29">
        <v>32</v>
      </c>
      <c r="U43" s="29">
        <v>32</v>
      </c>
      <c r="V43" s="29">
        <v>576</v>
      </c>
      <c r="W43" s="29">
        <v>16</v>
      </c>
      <c r="X43" s="33" t="s">
        <v>23</v>
      </c>
      <c r="Y43" s="29">
        <v>1614</v>
      </c>
      <c r="Z43" s="29">
        <v>61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37</v>
      </c>
      <c r="J44" s="29">
        <v>333</v>
      </c>
      <c r="K44" s="29">
        <v>0</v>
      </c>
      <c r="L44" s="33" t="s">
        <v>22</v>
      </c>
      <c r="M44" s="32" t="s">
        <v>22</v>
      </c>
      <c r="N44" s="29">
        <v>0</v>
      </c>
      <c r="O44" s="34">
        <v>8</v>
      </c>
      <c r="P44" s="29">
        <v>96</v>
      </c>
      <c r="Q44" s="29">
        <v>0</v>
      </c>
      <c r="R44" s="33" t="s">
        <v>22</v>
      </c>
      <c r="S44" s="32" t="s">
        <v>22</v>
      </c>
      <c r="T44" s="29">
        <v>0</v>
      </c>
      <c r="U44" s="29">
        <v>16</v>
      </c>
      <c r="V44" s="29">
        <v>288</v>
      </c>
      <c r="W44" s="29">
        <v>0</v>
      </c>
      <c r="X44" s="33" t="s">
        <v>22</v>
      </c>
      <c r="Y44" s="29">
        <v>717</v>
      </c>
      <c r="Z44" s="29">
        <v>0</v>
      </c>
    </row>
    <row r="45" spans="1:26" x14ac:dyDescent="0.35">
      <c r="F45" s="2">
        <v>43</v>
      </c>
      <c r="G45" s="32" t="s">
        <v>23</v>
      </c>
      <c r="H45" s="29">
        <v>111</v>
      </c>
      <c r="I45" s="29">
        <v>111</v>
      </c>
      <c r="J45" s="29">
        <v>999</v>
      </c>
      <c r="K45" s="29">
        <v>74</v>
      </c>
      <c r="L45" s="33" t="s">
        <v>23</v>
      </c>
      <c r="M45" s="32" t="s">
        <v>23</v>
      </c>
      <c r="N45" s="29">
        <v>77</v>
      </c>
      <c r="O45" s="29">
        <v>77</v>
      </c>
      <c r="P45" s="29">
        <v>924</v>
      </c>
      <c r="Q45" s="29">
        <v>54</v>
      </c>
      <c r="R45" s="33" t="s">
        <v>22</v>
      </c>
      <c r="S45" s="32" t="s">
        <v>23</v>
      </c>
      <c r="T45" s="29">
        <v>32</v>
      </c>
      <c r="U45" s="29">
        <v>32</v>
      </c>
      <c r="V45" s="29">
        <v>576</v>
      </c>
      <c r="W45" s="29">
        <v>16</v>
      </c>
      <c r="X45" s="33" t="s">
        <v>23</v>
      </c>
      <c r="Y45" s="29">
        <v>2499</v>
      </c>
      <c r="Z45" s="29">
        <v>144</v>
      </c>
    </row>
    <row r="46" spans="1:26" x14ac:dyDescent="0.35">
      <c r="F46" s="2">
        <v>44</v>
      </c>
      <c r="G46" s="32" t="s">
        <v>22</v>
      </c>
      <c r="H46" s="29">
        <v>0</v>
      </c>
      <c r="I46" s="29">
        <v>74</v>
      </c>
      <c r="J46" s="29">
        <v>666</v>
      </c>
      <c r="K46" s="29">
        <v>37</v>
      </c>
      <c r="L46" s="33" t="s">
        <v>22</v>
      </c>
      <c r="M46" s="32" t="s">
        <v>22</v>
      </c>
      <c r="N46" s="29">
        <v>0</v>
      </c>
      <c r="O46" s="29">
        <v>54</v>
      </c>
      <c r="P46" s="29">
        <v>648</v>
      </c>
      <c r="Q46" s="29">
        <v>31</v>
      </c>
      <c r="R46" s="33" t="s">
        <v>22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1602</v>
      </c>
      <c r="Z46" s="29">
        <v>68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37</v>
      </c>
      <c r="J47" s="29">
        <v>333</v>
      </c>
      <c r="K47" s="29">
        <v>0</v>
      </c>
      <c r="L47" s="33" t="s">
        <v>22</v>
      </c>
      <c r="M47" s="32" t="s">
        <v>22</v>
      </c>
      <c r="N47" s="29">
        <v>0</v>
      </c>
      <c r="O47" s="29">
        <v>31</v>
      </c>
      <c r="P47" s="29">
        <v>372</v>
      </c>
      <c r="Q47" s="29">
        <v>8</v>
      </c>
      <c r="R47" s="33" t="s">
        <v>23</v>
      </c>
      <c r="S47" s="32" t="s">
        <v>23</v>
      </c>
      <c r="T47" s="29">
        <v>32</v>
      </c>
      <c r="U47" s="29">
        <v>32</v>
      </c>
      <c r="V47" s="29">
        <v>576</v>
      </c>
      <c r="W47" s="29">
        <v>16</v>
      </c>
      <c r="X47" s="33" t="s">
        <v>23</v>
      </c>
      <c r="Y47" s="29">
        <v>1281</v>
      </c>
      <c r="Z47" s="29">
        <v>24</v>
      </c>
    </row>
    <row r="48" spans="1:26" x14ac:dyDescent="0.35">
      <c r="F48" s="2">
        <v>46</v>
      </c>
      <c r="G48" s="32" t="s">
        <v>23</v>
      </c>
      <c r="H48" s="29">
        <v>111</v>
      </c>
      <c r="I48" s="29">
        <v>111</v>
      </c>
      <c r="J48" s="29">
        <v>999</v>
      </c>
      <c r="K48" s="29">
        <v>74</v>
      </c>
      <c r="L48" s="33" t="s">
        <v>23</v>
      </c>
      <c r="M48" s="32" t="s">
        <v>22</v>
      </c>
      <c r="N48" s="29">
        <v>0</v>
      </c>
      <c r="O48" s="34">
        <v>8</v>
      </c>
      <c r="P48" s="29">
        <v>96</v>
      </c>
      <c r="Q48" s="29">
        <v>0</v>
      </c>
      <c r="R48" s="33" t="s">
        <v>22</v>
      </c>
      <c r="S48" s="32" t="s">
        <v>22</v>
      </c>
      <c r="T48" s="29">
        <v>0</v>
      </c>
      <c r="U48" s="29">
        <v>16</v>
      </c>
      <c r="V48" s="29">
        <v>288</v>
      </c>
      <c r="W48" s="29">
        <v>0</v>
      </c>
      <c r="X48" s="33" t="s">
        <v>22</v>
      </c>
      <c r="Y48" s="29">
        <v>1383</v>
      </c>
      <c r="Z48" s="29">
        <v>74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74</v>
      </c>
      <c r="J49" s="29">
        <v>666</v>
      </c>
      <c r="K49" s="29">
        <v>37</v>
      </c>
      <c r="L49" s="33" t="s">
        <v>22</v>
      </c>
      <c r="M49" s="32" t="s">
        <v>23</v>
      </c>
      <c r="N49" s="29">
        <v>77</v>
      </c>
      <c r="O49" s="29">
        <v>77</v>
      </c>
      <c r="P49" s="29">
        <v>924</v>
      </c>
      <c r="Q49" s="29">
        <v>54</v>
      </c>
      <c r="R49" s="33" t="s">
        <v>22</v>
      </c>
      <c r="S49" s="32" t="s">
        <v>23</v>
      </c>
      <c r="T49" s="29">
        <v>32</v>
      </c>
      <c r="U49" s="29">
        <v>32</v>
      </c>
      <c r="V49" s="29">
        <v>576</v>
      </c>
      <c r="W49" s="29">
        <v>16</v>
      </c>
      <c r="X49" s="33" t="s">
        <v>23</v>
      </c>
      <c r="Y49" s="29">
        <v>2166</v>
      </c>
      <c r="Z49" s="29">
        <v>107</v>
      </c>
    </row>
    <row r="50" spans="6:26" x14ac:dyDescent="0.35">
      <c r="F50" s="2">
        <v>48</v>
      </c>
      <c r="G50" s="32" t="s">
        <v>22</v>
      </c>
      <c r="H50" s="29">
        <v>0</v>
      </c>
      <c r="I50" s="29">
        <v>37</v>
      </c>
      <c r="J50" s="29">
        <v>333</v>
      </c>
      <c r="K50" s="29">
        <v>0</v>
      </c>
      <c r="L50" s="33" t="s">
        <v>22</v>
      </c>
      <c r="M50" s="32" t="s">
        <v>22</v>
      </c>
      <c r="N50" s="29">
        <v>0</v>
      </c>
      <c r="O50" s="29">
        <v>54</v>
      </c>
      <c r="P50" s="29">
        <v>648</v>
      </c>
      <c r="Q50" s="29">
        <v>31</v>
      </c>
      <c r="R50" s="33" t="s">
        <v>22</v>
      </c>
      <c r="S50" s="32" t="s">
        <v>22</v>
      </c>
      <c r="T50" s="29">
        <v>0</v>
      </c>
      <c r="U50" s="29">
        <v>16</v>
      </c>
      <c r="V50" s="29">
        <v>288</v>
      </c>
      <c r="W50" s="29">
        <v>0</v>
      </c>
      <c r="X50" s="33" t="s">
        <v>22</v>
      </c>
      <c r="Y50" s="29">
        <v>1269</v>
      </c>
      <c r="Z50" s="29">
        <v>31</v>
      </c>
    </row>
    <row r="51" spans="6:26" x14ac:dyDescent="0.35">
      <c r="F51" s="2">
        <v>49</v>
      </c>
      <c r="G51" s="32" t="s">
        <v>23</v>
      </c>
      <c r="H51" s="29">
        <v>111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22</v>
      </c>
      <c r="N51" s="29">
        <v>0</v>
      </c>
      <c r="O51" s="29">
        <v>31</v>
      </c>
      <c r="P51" s="29">
        <v>372</v>
      </c>
      <c r="Q51" s="29">
        <v>8</v>
      </c>
      <c r="R51" s="33" t="s">
        <v>23</v>
      </c>
      <c r="S51" s="32" t="s">
        <v>23</v>
      </c>
      <c r="T51" s="29">
        <v>32</v>
      </c>
      <c r="U51" s="29">
        <v>32</v>
      </c>
      <c r="V51" s="29">
        <v>576</v>
      </c>
      <c r="W51" s="29">
        <v>16</v>
      </c>
      <c r="X51" s="33" t="s">
        <v>23</v>
      </c>
      <c r="Y51" s="29">
        <v>1947</v>
      </c>
      <c r="Z51" s="29">
        <v>98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34">
        <v>8</v>
      </c>
      <c r="P52" s="29">
        <v>96</v>
      </c>
      <c r="Q52" s="29">
        <v>0</v>
      </c>
      <c r="R52" s="33" t="s">
        <v>22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1050</v>
      </c>
      <c r="Z52" s="29">
        <v>37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DBBE-5BCD-40E6-8D25-ED743B3442A6}">
  <sheetPr codeName="Sheet10"/>
  <dimension ref="A1:Z53"/>
  <sheetViews>
    <sheetView topLeftCell="A8" zoomScale="90" zoomScaleNormal="90" workbookViewId="0">
      <selection activeCell="B21" sqref="B21:D21"/>
    </sheetView>
  </sheetViews>
  <sheetFormatPr defaultColWidth="8.81640625" defaultRowHeight="14.5" x14ac:dyDescent="0.35"/>
  <cols>
    <col min="1" max="1" width="47.1796875" style="29" customWidth="1"/>
    <col min="2" max="2" width="11.08984375" style="29" bestFit="1" customWidth="1"/>
    <col min="3" max="3" width="12.08984375" style="29" bestFit="1" customWidth="1"/>
    <col min="4" max="4" width="11.08984375" style="29" bestFit="1" customWidth="1"/>
    <col min="5" max="5" width="12.90625" style="29" customWidth="1"/>
    <col min="6" max="6" width="8" style="30" customWidth="1"/>
    <col min="7" max="7" width="14.453125" style="42" customWidth="1"/>
    <col min="8" max="8" width="16" style="29" customWidth="1"/>
    <col min="9" max="11" width="13" style="29" customWidth="1"/>
    <col min="12" max="12" width="14.36328125" style="42" customWidth="1"/>
    <col min="13" max="13" width="15.6328125" style="42" customWidth="1"/>
    <col min="14" max="14" width="14.453125" style="29" customWidth="1"/>
    <col min="15" max="15" width="11.36328125" style="29" customWidth="1"/>
    <col min="16" max="16" width="11.453125" style="29" customWidth="1"/>
    <col min="17" max="17" width="11.1796875" style="29" customWidth="1"/>
    <col min="18" max="18" width="15.36328125" style="42" customWidth="1"/>
    <col min="19" max="19" width="14.453125" style="42" customWidth="1"/>
    <col min="20" max="20" width="13.81640625" style="29" customWidth="1"/>
    <col min="21" max="21" width="12.36328125" style="29" customWidth="1"/>
    <col min="22" max="22" width="12.453125" style="29" customWidth="1"/>
    <col min="23" max="23" width="12.6328125" style="29" customWidth="1"/>
    <col min="24" max="24" width="14" style="42" customWidth="1"/>
    <col min="25" max="25" width="10.6328125" style="29" customWidth="1"/>
    <col min="26" max="26" width="11.1796875" style="29" customWidth="1"/>
    <col min="27" max="16384" width="8.81640625" style="29"/>
  </cols>
  <sheetData>
    <row r="1" spans="1:26" ht="30.75" customHeight="1" thickBot="1" x14ac:dyDescent="0.4">
      <c r="A1" s="5"/>
      <c r="G1" s="57" t="s">
        <v>2</v>
      </c>
      <c r="H1" s="58"/>
      <c r="I1" s="58"/>
      <c r="J1" s="58"/>
      <c r="K1" s="58"/>
      <c r="L1" s="59"/>
      <c r="M1" s="60" t="s">
        <v>3</v>
      </c>
      <c r="N1" s="61"/>
      <c r="O1" s="61"/>
      <c r="P1" s="61"/>
      <c r="Q1" s="61"/>
      <c r="R1" s="62"/>
      <c r="S1" s="71" t="s">
        <v>4</v>
      </c>
      <c r="T1" s="72"/>
      <c r="U1" s="72"/>
      <c r="V1" s="72"/>
      <c r="W1" s="72"/>
      <c r="X1" s="73"/>
      <c r="Y1" s="70" t="s">
        <v>21</v>
      </c>
      <c r="Z1" s="66" t="s">
        <v>26</v>
      </c>
    </row>
    <row r="2" spans="1:26" ht="45" customHeight="1" thickBot="1" x14ac:dyDescent="0.4">
      <c r="A2" s="31" t="s">
        <v>16</v>
      </c>
      <c r="B2" s="3" t="s">
        <v>2</v>
      </c>
      <c r="C2" s="4" t="s">
        <v>3</v>
      </c>
      <c r="D2" s="4" t="s">
        <v>4</v>
      </c>
      <c r="F2" s="2"/>
      <c r="G2" s="9" t="s">
        <v>8</v>
      </c>
      <c r="H2" s="1" t="s">
        <v>0</v>
      </c>
      <c r="I2" s="1" t="s">
        <v>7</v>
      </c>
      <c r="J2" s="1" t="s">
        <v>5</v>
      </c>
      <c r="K2" s="1" t="s">
        <v>6</v>
      </c>
      <c r="L2" s="10" t="s">
        <v>1</v>
      </c>
      <c r="M2" s="9" t="s">
        <v>8</v>
      </c>
      <c r="N2" s="1" t="s">
        <v>0</v>
      </c>
      <c r="O2" s="1" t="s">
        <v>7</v>
      </c>
      <c r="P2" s="1" t="s">
        <v>5</v>
      </c>
      <c r="Q2" s="1" t="s">
        <v>6</v>
      </c>
      <c r="R2" s="10" t="s">
        <v>1</v>
      </c>
      <c r="S2" s="9" t="s">
        <v>8</v>
      </c>
      <c r="T2" s="1" t="s">
        <v>0</v>
      </c>
      <c r="U2" s="1" t="s">
        <v>7</v>
      </c>
      <c r="V2" s="1" t="s">
        <v>5</v>
      </c>
      <c r="W2" s="1" t="s">
        <v>6</v>
      </c>
      <c r="X2" s="10" t="s">
        <v>1</v>
      </c>
      <c r="Y2" s="70"/>
      <c r="Z2" s="66"/>
    </row>
    <row r="3" spans="1:26" ht="20.25" customHeight="1" thickBot="1" x14ac:dyDescent="0.4">
      <c r="A3" s="6" t="s">
        <v>9</v>
      </c>
      <c r="B3" s="16">
        <v>148</v>
      </c>
      <c r="C3" s="16">
        <v>69</v>
      </c>
      <c r="D3" s="16">
        <v>32</v>
      </c>
      <c r="F3" s="2">
        <v>1</v>
      </c>
      <c r="G3" s="32" t="s">
        <v>22</v>
      </c>
      <c r="H3" s="29">
        <v>0</v>
      </c>
      <c r="I3" s="29">
        <v>111</v>
      </c>
      <c r="J3" s="29">
        <v>999</v>
      </c>
      <c r="K3" s="29">
        <v>74</v>
      </c>
      <c r="L3" s="33" t="s">
        <v>23</v>
      </c>
      <c r="M3" s="32" t="s">
        <v>22</v>
      </c>
      <c r="N3" s="29">
        <v>0</v>
      </c>
      <c r="O3" s="29">
        <v>47</v>
      </c>
      <c r="P3" s="29">
        <v>564</v>
      </c>
      <c r="Q3" s="29">
        <v>24</v>
      </c>
      <c r="R3" s="33" t="s">
        <v>23</v>
      </c>
      <c r="S3" s="32" t="s">
        <v>22</v>
      </c>
      <c r="T3" s="29">
        <v>0</v>
      </c>
      <c r="U3" s="29">
        <v>32</v>
      </c>
      <c r="V3" s="29">
        <v>576</v>
      </c>
      <c r="W3" s="29">
        <v>16</v>
      </c>
      <c r="X3" s="33" t="s">
        <v>23</v>
      </c>
      <c r="Y3" s="29">
        <v>2139</v>
      </c>
      <c r="Z3" s="29">
        <v>114</v>
      </c>
    </row>
    <row r="4" spans="1:26" ht="18.75" customHeight="1" thickBot="1" x14ac:dyDescent="0.4">
      <c r="A4" s="6" t="s">
        <v>10</v>
      </c>
      <c r="B4" s="7">
        <v>74</v>
      </c>
      <c r="C4" s="7">
        <v>24</v>
      </c>
      <c r="D4" s="7">
        <v>16</v>
      </c>
      <c r="F4" s="2">
        <v>2</v>
      </c>
      <c r="G4" s="32" t="s">
        <v>22</v>
      </c>
      <c r="H4" s="29">
        <v>0</v>
      </c>
      <c r="I4" s="29">
        <v>74</v>
      </c>
      <c r="J4" s="29">
        <v>666</v>
      </c>
      <c r="K4" s="29">
        <v>37</v>
      </c>
      <c r="L4" s="33" t="s">
        <v>22</v>
      </c>
      <c r="M4" s="32" t="s">
        <v>22</v>
      </c>
      <c r="N4" s="29">
        <v>0</v>
      </c>
      <c r="O4" s="29">
        <v>24</v>
      </c>
      <c r="P4" s="29">
        <v>288</v>
      </c>
      <c r="Q4" s="29">
        <v>1</v>
      </c>
      <c r="R4" s="33" t="s">
        <v>22</v>
      </c>
      <c r="S4" s="32" t="s">
        <v>22</v>
      </c>
      <c r="T4" s="29">
        <v>0</v>
      </c>
      <c r="U4" s="29">
        <v>16</v>
      </c>
      <c r="V4" s="29">
        <v>288</v>
      </c>
      <c r="W4" s="29">
        <v>0</v>
      </c>
      <c r="X4" s="33" t="s">
        <v>22</v>
      </c>
      <c r="Y4" s="29">
        <v>1242</v>
      </c>
      <c r="Z4" s="29">
        <v>38</v>
      </c>
    </row>
    <row r="5" spans="1:26" ht="15" customHeight="1" thickBot="1" x14ac:dyDescent="0.4">
      <c r="A5" s="5"/>
      <c r="B5" s="5"/>
      <c r="C5" s="5"/>
      <c r="D5" s="5"/>
      <c r="F5" s="2">
        <v>3</v>
      </c>
      <c r="G5" s="32" t="s">
        <v>22</v>
      </c>
      <c r="H5" s="29">
        <v>0</v>
      </c>
      <c r="I5" s="29">
        <v>37</v>
      </c>
      <c r="J5" s="29">
        <v>333</v>
      </c>
      <c r="K5" s="29">
        <v>0</v>
      </c>
      <c r="L5" s="33" t="s">
        <v>22</v>
      </c>
      <c r="M5" s="32" t="s">
        <v>23</v>
      </c>
      <c r="N5" s="29">
        <v>69</v>
      </c>
      <c r="O5" s="29">
        <v>70</v>
      </c>
      <c r="P5" s="29">
        <v>840</v>
      </c>
      <c r="Q5" s="29">
        <v>47</v>
      </c>
      <c r="R5" s="33" t="s">
        <v>22</v>
      </c>
      <c r="S5" s="32" t="s">
        <v>23</v>
      </c>
      <c r="T5" s="29">
        <v>32</v>
      </c>
      <c r="U5" s="29">
        <v>32</v>
      </c>
      <c r="V5" s="29">
        <v>576</v>
      </c>
      <c r="W5" s="29">
        <v>16</v>
      </c>
      <c r="X5" s="33" t="s">
        <v>23</v>
      </c>
      <c r="Y5" s="29">
        <v>1749</v>
      </c>
      <c r="Z5" s="29">
        <v>63</v>
      </c>
    </row>
    <row r="6" spans="1:26" ht="19" customHeight="1" thickBot="1" x14ac:dyDescent="0.4">
      <c r="A6" s="14" t="s">
        <v>17</v>
      </c>
      <c r="B6" s="3" t="s">
        <v>2</v>
      </c>
      <c r="C6" s="4" t="s">
        <v>3</v>
      </c>
      <c r="D6" s="4" t="s">
        <v>4</v>
      </c>
      <c r="F6" s="2">
        <v>4</v>
      </c>
      <c r="G6" s="32" t="s">
        <v>23</v>
      </c>
      <c r="H6" s="29">
        <v>148</v>
      </c>
      <c r="I6" s="29">
        <v>148</v>
      </c>
      <c r="J6" s="29">
        <v>1332</v>
      </c>
      <c r="K6" s="29">
        <v>111</v>
      </c>
      <c r="L6" s="33" t="s">
        <v>22</v>
      </c>
      <c r="M6" s="32" t="s">
        <v>22</v>
      </c>
      <c r="N6" s="29">
        <v>0</v>
      </c>
      <c r="O6" s="29">
        <v>47</v>
      </c>
      <c r="P6" s="29">
        <v>564</v>
      </c>
      <c r="Q6" s="29">
        <v>24</v>
      </c>
      <c r="R6" s="33" t="s">
        <v>23</v>
      </c>
      <c r="S6" s="32" t="s">
        <v>22</v>
      </c>
      <c r="T6" s="29">
        <v>0</v>
      </c>
      <c r="U6" s="29">
        <v>16</v>
      </c>
      <c r="V6" s="29">
        <v>288</v>
      </c>
      <c r="W6" s="29">
        <v>0</v>
      </c>
      <c r="X6" s="33" t="s">
        <v>22</v>
      </c>
      <c r="Y6" s="29">
        <v>2184</v>
      </c>
      <c r="Z6" s="29">
        <v>135</v>
      </c>
    </row>
    <row r="7" spans="1:26" ht="15" thickBot="1" x14ac:dyDescent="0.4">
      <c r="A7" s="11" t="s">
        <v>11</v>
      </c>
      <c r="B7" s="4">
        <v>37</v>
      </c>
      <c r="C7" s="4">
        <v>23</v>
      </c>
      <c r="D7" s="4">
        <v>16</v>
      </c>
      <c r="F7" s="2">
        <v>5</v>
      </c>
      <c r="G7" s="32" t="s">
        <v>22</v>
      </c>
      <c r="H7" s="29">
        <v>0</v>
      </c>
      <c r="I7" s="29">
        <v>111</v>
      </c>
      <c r="J7" s="29">
        <v>999</v>
      </c>
      <c r="K7" s="29">
        <v>74</v>
      </c>
      <c r="L7" s="33" t="s">
        <v>23</v>
      </c>
      <c r="M7" s="32" t="s">
        <v>22</v>
      </c>
      <c r="N7" s="29">
        <v>0</v>
      </c>
      <c r="O7" s="29">
        <v>24</v>
      </c>
      <c r="P7" s="29">
        <v>288</v>
      </c>
      <c r="Q7" s="29">
        <v>1</v>
      </c>
      <c r="R7" s="33" t="s">
        <v>22</v>
      </c>
      <c r="S7" s="32" t="s">
        <v>23</v>
      </c>
      <c r="T7" s="29">
        <v>32</v>
      </c>
      <c r="U7" s="29">
        <v>32</v>
      </c>
      <c r="V7" s="29">
        <v>576</v>
      </c>
      <c r="W7" s="29">
        <v>16</v>
      </c>
      <c r="X7" s="33" t="s">
        <v>23</v>
      </c>
      <c r="Y7" s="29">
        <v>1863</v>
      </c>
      <c r="Z7" s="29">
        <v>91</v>
      </c>
    </row>
    <row r="8" spans="1:26" ht="15" thickBot="1" x14ac:dyDescent="0.4">
      <c r="A8" s="12" t="s">
        <v>12</v>
      </c>
      <c r="B8" s="7">
        <v>50</v>
      </c>
      <c r="C8" s="7">
        <v>350</v>
      </c>
      <c r="D8" s="7">
        <v>85</v>
      </c>
      <c r="F8" s="2">
        <v>6</v>
      </c>
      <c r="G8" s="32" t="s">
        <v>22</v>
      </c>
      <c r="H8" s="29">
        <v>0</v>
      </c>
      <c r="I8" s="29">
        <v>74</v>
      </c>
      <c r="J8" s="29">
        <v>666</v>
      </c>
      <c r="K8" s="29">
        <v>37</v>
      </c>
      <c r="L8" s="33" t="s">
        <v>22</v>
      </c>
      <c r="M8" s="32" t="s">
        <v>23</v>
      </c>
      <c r="N8" s="29">
        <v>69</v>
      </c>
      <c r="O8" s="29">
        <v>70</v>
      </c>
      <c r="P8" s="29">
        <v>840</v>
      </c>
      <c r="Q8" s="29">
        <v>47</v>
      </c>
      <c r="R8" s="33" t="s">
        <v>22</v>
      </c>
      <c r="S8" s="32" t="s">
        <v>22</v>
      </c>
      <c r="T8" s="29">
        <v>0</v>
      </c>
      <c r="U8" s="29">
        <v>16</v>
      </c>
      <c r="V8" s="29">
        <v>288</v>
      </c>
      <c r="W8" s="29">
        <v>0</v>
      </c>
      <c r="X8" s="33" t="s">
        <v>22</v>
      </c>
      <c r="Y8" s="29">
        <v>1794</v>
      </c>
      <c r="Z8" s="29">
        <v>84</v>
      </c>
    </row>
    <row r="9" spans="1:26" ht="15" thickBot="1" x14ac:dyDescent="0.4">
      <c r="A9" s="12" t="s">
        <v>13</v>
      </c>
      <c r="B9" s="7">
        <v>100</v>
      </c>
      <c r="C9" s="7">
        <v>150</v>
      </c>
      <c r="D9" s="7">
        <v>50</v>
      </c>
      <c r="F9" s="2">
        <v>7</v>
      </c>
      <c r="G9" s="32" t="s">
        <v>22</v>
      </c>
      <c r="H9" s="29">
        <v>0</v>
      </c>
      <c r="I9" s="29">
        <v>37</v>
      </c>
      <c r="J9" s="29">
        <v>333</v>
      </c>
      <c r="K9" s="29">
        <v>0</v>
      </c>
      <c r="L9" s="33" t="s">
        <v>22</v>
      </c>
      <c r="M9" s="32" t="s">
        <v>22</v>
      </c>
      <c r="N9" s="29">
        <v>0</v>
      </c>
      <c r="O9" s="29">
        <v>47</v>
      </c>
      <c r="P9" s="29">
        <v>564</v>
      </c>
      <c r="Q9" s="29">
        <v>24</v>
      </c>
      <c r="R9" s="33" t="s">
        <v>23</v>
      </c>
      <c r="S9" s="32" t="s">
        <v>23</v>
      </c>
      <c r="T9" s="29">
        <v>32</v>
      </c>
      <c r="U9" s="29">
        <v>32</v>
      </c>
      <c r="V9" s="29">
        <v>576</v>
      </c>
      <c r="W9" s="29">
        <v>16</v>
      </c>
      <c r="X9" s="33" t="s">
        <v>23</v>
      </c>
      <c r="Y9" s="29">
        <v>1473</v>
      </c>
      <c r="Z9" s="29">
        <v>40</v>
      </c>
    </row>
    <row r="10" spans="1:26" ht="17" thickBot="1" x14ac:dyDescent="0.4">
      <c r="A10" s="12" t="s">
        <v>14</v>
      </c>
      <c r="B10" s="7">
        <v>9</v>
      </c>
      <c r="C10" s="7">
        <v>12</v>
      </c>
      <c r="D10" s="7">
        <v>18</v>
      </c>
      <c r="F10" s="2">
        <v>8</v>
      </c>
      <c r="G10" s="32" t="s">
        <v>23</v>
      </c>
      <c r="H10" s="29">
        <v>148</v>
      </c>
      <c r="I10" s="29">
        <v>148</v>
      </c>
      <c r="J10" s="29">
        <v>1332</v>
      </c>
      <c r="K10" s="29">
        <v>111</v>
      </c>
      <c r="L10" s="33" t="s">
        <v>22</v>
      </c>
      <c r="M10" s="32" t="s">
        <v>22</v>
      </c>
      <c r="N10" s="29">
        <v>0</v>
      </c>
      <c r="O10" s="29">
        <v>24</v>
      </c>
      <c r="P10" s="29">
        <v>288</v>
      </c>
      <c r="Q10" s="29">
        <v>1</v>
      </c>
      <c r="R10" s="33" t="s">
        <v>22</v>
      </c>
      <c r="S10" s="32" t="s">
        <v>22</v>
      </c>
      <c r="T10" s="29">
        <v>0</v>
      </c>
      <c r="U10" s="29">
        <v>16</v>
      </c>
      <c r="V10" s="29">
        <v>288</v>
      </c>
      <c r="W10" s="29">
        <v>0</v>
      </c>
      <c r="X10" s="33" t="s">
        <v>22</v>
      </c>
      <c r="Y10" s="29">
        <v>1908</v>
      </c>
      <c r="Z10" s="29">
        <v>112</v>
      </c>
    </row>
    <row r="11" spans="1:26" ht="15" thickBot="1" x14ac:dyDescent="0.4">
      <c r="A11" s="12" t="s">
        <v>15</v>
      </c>
      <c r="B11" s="8">
        <v>2</v>
      </c>
      <c r="C11" s="8">
        <v>1</v>
      </c>
      <c r="D11" s="8">
        <v>1</v>
      </c>
      <c r="E11" s="35"/>
      <c r="F11" s="2">
        <v>9</v>
      </c>
      <c r="G11" s="32" t="s">
        <v>22</v>
      </c>
      <c r="H11" s="29">
        <v>0</v>
      </c>
      <c r="I11" s="29">
        <v>111</v>
      </c>
      <c r="J11" s="29">
        <v>999</v>
      </c>
      <c r="K11" s="29">
        <v>74</v>
      </c>
      <c r="L11" s="33" t="s">
        <v>23</v>
      </c>
      <c r="M11" s="32" t="s">
        <v>23</v>
      </c>
      <c r="N11" s="29">
        <v>69</v>
      </c>
      <c r="O11" s="29">
        <v>70</v>
      </c>
      <c r="P11" s="29">
        <v>840</v>
      </c>
      <c r="Q11" s="29">
        <v>47</v>
      </c>
      <c r="R11" s="33" t="s">
        <v>22</v>
      </c>
      <c r="S11" s="32" t="s">
        <v>23</v>
      </c>
      <c r="T11" s="29">
        <v>32</v>
      </c>
      <c r="U11" s="29">
        <v>32</v>
      </c>
      <c r="V11" s="29">
        <v>576</v>
      </c>
      <c r="W11" s="29">
        <v>16</v>
      </c>
      <c r="X11" s="33" t="s">
        <v>23</v>
      </c>
      <c r="Y11" s="29">
        <v>2415</v>
      </c>
      <c r="Z11" s="29">
        <v>137</v>
      </c>
    </row>
    <row r="12" spans="1:26" ht="15" thickBot="1" x14ac:dyDescent="0.4">
      <c r="A12" s="12" t="s">
        <v>18</v>
      </c>
      <c r="B12" s="7">
        <v>111</v>
      </c>
      <c r="C12" s="7">
        <v>47</v>
      </c>
      <c r="D12" s="7">
        <v>32</v>
      </c>
      <c r="F12" s="2">
        <v>10</v>
      </c>
      <c r="G12" s="32" t="s">
        <v>22</v>
      </c>
      <c r="H12" s="29">
        <v>0</v>
      </c>
      <c r="I12" s="29">
        <v>74</v>
      </c>
      <c r="J12" s="29">
        <v>666</v>
      </c>
      <c r="K12" s="29">
        <v>37</v>
      </c>
      <c r="L12" s="33" t="s">
        <v>22</v>
      </c>
      <c r="M12" s="32" t="s">
        <v>22</v>
      </c>
      <c r="N12" s="29">
        <v>0</v>
      </c>
      <c r="O12" s="29">
        <v>47</v>
      </c>
      <c r="P12" s="29">
        <v>564</v>
      </c>
      <c r="Q12" s="29">
        <v>24</v>
      </c>
      <c r="R12" s="33" t="s">
        <v>23</v>
      </c>
      <c r="S12" s="32" t="s">
        <v>22</v>
      </c>
      <c r="T12" s="29">
        <v>0</v>
      </c>
      <c r="U12" s="29">
        <v>16</v>
      </c>
      <c r="V12" s="29">
        <v>288</v>
      </c>
      <c r="W12" s="29">
        <v>0</v>
      </c>
      <c r="X12" s="33" t="s">
        <v>22</v>
      </c>
      <c r="Y12" s="29">
        <v>1518</v>
      </c>
      <c r="Z12" s="29">
        <v>61</v>
      </c>
    </row>
    <row r="13" spans="1:26" ht="15" thickBot="1" x14ac:dyDescent="0.4">
      <c r="A13" s="13"/>
      <c r="B13" s="5"/>
      <c r="C13" s="5"/>
      <c r="D13" s="5"/>
      <c r="F13" s="2">
        <v>11</v>
      </c>
      <c r="G13" s="32" t="s">
        <v>22</v>
      </c>
      <c r="H13" s="29">
        <v>0</v>
      </c>
      <c r="I13" s="29">
        <v>37</v>
      </c>
      <c r="J13" s="29">
        <v>333</v>
      </c>
      <c r="K13" s="29">
        <v>0</v>
      </c>
      <c r="L13" s="33" t="s">
        <v>22</v>
      </c>
      <c r="M13" s="32" t="s">
        <v>22</v>
      </c>
      <c r="N13" s="29">
        <v>0</v>
      </c>
      <c r="O13" s="29">
        <v>24</v>
      </c>
      <c r="P13" s="29">
        <v>288</v>
      </c>
      <c r="Q13" s="29">
        <v>1</v>
      </c>
      <c r="R13" s="33" t="s">
        <v>22</v>
      </c>
      <c r="S13" s="32" t="s">
        <v>23</v>
      </c>
      <c r="T13" s="29">
        <v>32</v>
      </c>
      <c r="U13" s="29">
        <v>32</v>
      </c>
      <c r="V13" s="29">
        <v>576</v>
      </c>
      <c r="W13" s="29">
        <v>16</v>
      </c>
      <c r="X13" s="33" t="s">
        <v>23</v>
      </c>
      <c r="Y13" s="29">
        <v>1197</v>
      </c>
      <c r="Z13" s="29">
        <v>17</v>
      </c>
    </row>
    <row r="14" spans="1:26" ht="18.5" customHeight="1" thickBot="1" x14ac:dyDescent="0.4">
      <c r="A14" s="15" t="s">
        <v>19</v>
      </c>
      <c r="B14" s="3" t="s">
        <v>2</v>
      </c>
      <c r="C14" s="4" t="s">
        <v>3</v>
      </c>
      <c r="D14" s="4" t="s">
        <v>4</v>
      </c>
      <c r="E14" s="36" t="s">
        <v>31</v>
      </c>
      <c r="F14" s="2">
        <v>12</v>
      </c>
      <c r="G14" s="32" t="s">
        <v>23</v>
      </c>
      <c r="H14" s="29">
        <v>148</v>
      </c>
      <c r="I14" s="29">
        <v>148</v>
      </c>
      <c r="J14" s="29">
        <v>1332</v>
      </c>
      <c r="K14" s="29">
        <v>111</v>
      </c>
      <c r="L14" s="33" t="s">
        <v>22</v>
      </c>
      <c r="M14" s="32" t="s">
        <v>23</v>
      </c>
      <c r="N14" s="29">
        <v>69</v>
      </c>
      <c r="O14" s="29">
        <v>70</v>
      </c>
      <c r="P14" s="29">
        <v>840</v>
      </c>
      <c r="Q14" s="29">
        <v>47</v>
      </c>
      <c r="R14" s="33" t="s">
        <v>22</v>
      </c>
      <c r="S14" s="32" t="s">
        <v>22</v>
      </c>
      <c r="T14" s="29">
        <v>0</v>
      </c>
      <c r="U14" s="29">
        <v>16</v>
      </c>
      <c r="V14" s="29">
        <v>288</v>
      </c>
      <c r="W14" s="29">
        <v>0</v>
      </c>
      <c r="X14" s="33" t="s">
        <v>22</v>
      </c>
      <c r="Y14" s="29">
        <v>2460</v>
      </c>
      <c r="Z14" s="29">
        <v>158</v>
      </c>
    </row>
    <row r="15" spans="1:26" ht="15" thickBot="1" x14ac:dyDescent="0.4">
      <c r="A15" s="19" t="s">
        <v>28</v>
      </c>
      <c r="B15" s="26">
        <v>1776</v>
      </c>
      <c r="C15" s="26">
        <v>1104</v>
      </c>
      <c r="D15" s="26">
        <v>768</v>
      </c>
      <c r="E15" s="37">
        <v>3648</v>
      </c>
      <c r="F15" s="2">
        <v>13</v>
      </c>
      <c r="G15" s="32" t="s">
        <v>22</v>
      </c>
      <c r="H15" s="29">
        <v>0</v>
      </c>
      <c r="I15" s="29">
        <v>111</v>
      </c>
      <c r="J15" s="29">
        <v>999</v>
      </c>
      <c r="K15" s="29">
        <v>74</v>
      </c>
      <c r="L15" s="33" t="s">
        <v>23</v>
      </c>
      <c r="M15" s="32" t="s">
        <v>22</v>
      </c>
      <c r="N15" s="29">
        <v>0</v>
      </c>
      <c r="O15" s="29">
        <v>47</v>
      </c>
      <c r="P15" s="29">
        <v>564</v>
      </c>
      <c r="Q15" s="29">
        <v>24</v>
      </c>
      <c r="R15" s="33" t="s">
        <v>23</v>
      </c>
      <c r="S15" s="32" t="s">
        <v>23</v>
      </c>
      <c r="T15" s="29">
        <v>32</v>
      </c>
      <c r="U15" s="29">
        <v>32</v>
      </c>
      <c r="V15" s="29">
        <v>576</v>
      </c>
      <c r="W15" s="29">
        <v>16</v>
      </c>
      <c r="X15" s="33" t="s">
        <v>23</v>
      </c>
      <c r="Y15" s="29">
        <v>2139</v>
      </c>
      <c r="Z15" s="29">
        <v>114</v>
      </c>
    </row>
    <row r="16" spans="1:26" ht="15" thickBot="1" x14ac:dyDescent="0.4">
      <c r="A16" s="18" t="s">
        <v>27</v>
      </c>
      <c r="B16" s="27">
        <v>12</v>
      </c>
      <c r="C16" s="27">
        <v>16</v>
      </c>
      <c r="D16" s="28">
        <v>24</v>
      </c>
      <c r="E16" s="37">
        <v>52</v>
      </c>
      <c r="F16" s="2">
        <v>14</v>
      </c>
      <c r="G16" s="32" t="s">
        <v>22</v>
      </c>
      <c r="H16" s="29">
        <v>0</v>
      </c>
      <c r="I16" s="29">
        <v>74</v>
      </c>
      <c r="J16" s="29">
        <v>666</v>
      </c>
      <c r="K16" s="29">
        <v>37</v>
      </c>
      <c r="L16" s="33" t="s">
        <v>22</v>
      </c>
      <c r="M16" s="32" t="s">
        <v>22</v>
      </c>
      <c r="N16" s="29">
        <v>0</v>
      </c>
      <c r="O16" s="29">
        <v>24</v>
      </c>
      <c r="P16" s="29">
        <v>288</v>
      </c>
      <c r="Q16" s="29">
        <v>1</v>
      </c>
      <c r="R16" s="33" t="s">
        <v>22</v>
      </c>
      <c r="S16" s="32" t="s">
        <v>22</v>
      </c>
      <c r="T16" s="29">
        <v>0</v>
      </c>
      <c r="U16" s="29">
        <v>16</v>
      </c>
      <c r="V16" s="29">
        <v>288</v>
      </c>
      <c r="W16" s="29">
        <v>0</v>
      </c>
      <c r="X16" s="33" t="s">
        <v>22</v>
      </c>
      <c r="Y16" s="29">
        <v>1242</v>
      </c>
      <c r="Z16" s="29">
        <v>38</v>
      </c>
    </row>
    <row r="17" spans="1:26" ht="15" thickBot="1" x14ac:dyDescent="0.4">
      <c r="A17" s="11" t="s">
        <v>24</v>
      </c>
      <c r="B17" s="24">
        <v>1200</v>
      </c>
      <c r="C17" s="24">
        <v>2400</v>
      </c>
      <c r="D17" s="24">
        <v>1200</v>
      </c>
      <c r="E17" s="25">
        <v>4800</v>
      </c>
      <c r="F17" s="2">
        <v>15</v>
      </c>
      <c r="G17" s="32" t="s">
        <v>22</v>
      </c>
      <c r="H17" s="29">
        <v>0</v>
      </c>
      <c r="I17" s="29">
        <v>37</v>
      </c>
      <c r="J17" s="29">
        <v>333</v>
      </c>
      <c r="K17" s="29">
        <v>0</v>
      </c>
      <c r="L17" s="33" t="s">
        <v>22</v>
      </c>
      <c r="M17" s="32" t="s">
        <v>23</v>
      </c>
      <c r="N17" s="29">
        <v>69</v>
      </c>
      <c r="O17" s="29">
        <v>70</v>
      </c>
      <c r="P17" s="29">
        <v>840</v>
      </c>
      <c r="Q17" s="29">
        <v>47</v>
      </c>
      <c r="R17" s="33" t="s">
        <v>22</v>
      </c>
      <c r="S17" s="32" t="s">
        <v>23</v>
      </c>
      <c r="T17" s="29">
        <v>32</v>
      </c>
      <c r="U17" s="29">
        <v>32</v>
      </c>
      <c r="V17" s="29">
        <v>576</v>
      </c>
      <c r="W17" s="29">
        <v>16</v>
      </c>
      <c r="X17" s="33" t="s">
        <v>23</v>
      </c>
      <c r="Y17" s="29">
        <v>1749</v>
      </c>
      <c r="Z17" s="29">
        <v>63</v>
      </c>
    </row>
    <row r="18" spans="1:26" ht="15" thickBot="1" x14ac:dyDescent="0.4">
      <c r="A18" s="11" t="s">
        <v>29</v>
      </c>
      <c r="B18" s="24">
        <v>88800</v>
      </c>
      <c r="C18" s="24">
        <v>386400</v>
      </c>
      <c r="D18" s="24">
        <v>65280</v>
      </c>
      <c r="E18" s="25">
        <v>540480</v>
      </c>
      <c r="F18" s="2">
        <v>16</v>
      </c>
      <c r="G18" s="32" t="s">
        <v>23</v>
      </c>
      <c r="H18" s="29">
        <v>148</v>
      </c>
      <c r="I18" s="29">
        <v>148</v>
      </c>
      <c r="J18" s="29">
        <v>1332</v>
      </c>
      <c r="K18" s="29">
        <v>111</v>
      </c>
      <c r="L18" s="33" t="s">
        <v>22</v>
      </c>
      <c r="M18" s="32" t="s">
        <v>22</v>
      </c>
      <c r="N18" s="29">
        <v>0</v>
      </c>
      <c r="O18" s="29">
        <v>47</v>
      </c>
      <c r="P18" s="29">
        <v>564</v>
      </c>
      <c r="Q18" s="29">
        <v>24</v>
      </c>
      <c r="R18" s="33" t="s">
        <v>23</v>
      </c>
      <c r="S18" s="32" t="s">
        <v>22</v>
      </c>
      <c r="T18" s="29">
        <v>0</v>
      </c>
      <c r="U18" s="29">
        <v>16</v>
      </c>
      <c r="V18" s="29">
        <v>288</v>
      </c>
      <c r="W18" s="29">
        <v>0</v>
      </c>
      <c r="X18" s="33" t="s">
        <v>22</v>
      </c>
      <c r="Y18" s="29">
        <v>2184</v>
      </c>
      <c r="Z18" s="29">
        <v>135</v>
      </c>
    </row>
    <row r="19" spans="1:26" ht="15" thickBot="1" x14ac:dyDescent="0.4">
      <c r="A19" s="20" t="s">
        <v>30</v>
      </c>
      <c r="B19" s="25">
        <v>693.75</v>
      </c>
      <c r="C19" s="25">
        <v>2059.75</v>
      </c>
      <c r="D19" s="25">
        <v>170.00000000000003</v>
      </c>
      <c r="E19" s="25">
        <v>2923.5</v>
      </c>
      <c r="F19" s="2">
        <v>17</v>
      </c>
      <c r="G19" s="32" t="s">
        <v>22</v>
      </c>
      <c r="H19" s="29">
        <v>0</v>
      </c>
      <c r="I19" s="29">
        <v>111</v>
      </c>
      <c r="J19" s="29">
        <v>999</v>
      </c>
      <c r="K19" s="29">
        <v>74</v>
      </c>
      <c r="L19" s="33" t="s">
        <v>23</v>
      </c>
      <c r="M19" s="32" t="s">
        <v>22</v>
      </c>
      <c r="N19" s="29">
        <v>0</v>
      </c>
      <c r="O19" s="29">
        <v>24</v>
      </c>
      <c r="P19" s="29">
        <v>288</v>
      </c>
      <c r="Q19" s="29">
        <v>1</v>
      </c>
      <c r="R19" s="33" t="s">
        <v>22</v>
      </c>
      <c r="S19" s="32" t="s">
        <v>23</v>
      </c>
      <c r="T19" s="29">
        <v>32</v>
      </c>
      <c r="U19" s="29">
        <v>32</v>
      </c>
      <c r="V19" s="29">
        <v>576</v>
      </c>
      <c r="W19" s="29">
        <v>16</v>
      </c>
      <c r="X19" s="33" t="s">
        <v>23</v>
      </c>
      <c r="Y19" s="29">
        <v>1863</v>
      </c>
      <c r="Z19" s="29">
        <v>91</v>
      </c>
    </row>
    <row r="20" spans="1:26" ht="15" thickBot="1" x14ac:dyDescent="0.4">
      <c r="A20" s="23" t="s">
        <v>32</v>
      </c>
      <c r="B20" s="67">
        <v>4352</v>
      </c>
      <c r="C20" s="68"/>
      <c r="D20" s="69"/>
      <c r="F20" s="2">
        <v>18</v>
      </c>
      <c r="G20" s="32" t="s">
        <v>22</v>
      </c>
      <c r="H20" s="29">
        <v>0</v>
      </c>
      <c r="I20" s="29">
        <v>74</v>
      </c>
      <c r="J20" s="29">
        <v>666</v>
      </c>
      <c r="K20" s="29">
        <v>37</v>
      </c>
      <c r="L20" s="33" t="s">
        <v>22</v>
      </c>
      <c r="M20" s="32" t="s">
        <v>23</v>
      </c>
      <c r="N20" s="29">
        <v>69</v>
      </c>
      <c r="O20" s="29">
        <v>70</v>
      </c>
      <c r="P20" s="29">
        <v>840</v>
      </c>
      <c r="Q20" s="29">
        <v>47</v>
      </c>
      <c r="R20" s="33" t="s">
        <v>22</v>
      </c>
      <c r="S20" s="32" t="s">
        <v>22</v>
      </c>
      <c r="T20" s="29">
        <v>0</v>
      </c>
      <c r="U20" s="29">
        <v>16</v>
      </c>
      <c r="V20" s="29">
        <v>288</v>
      </c>
      <c r="W20" s="29">
        <v>0</v>
      </c>
      <c r="X20" s="33" t="s">
        <v>22</v>
      </c>
      <c r="Y20" s="29">
        <v>1794</v>
      </c>
      <c r="Z20" s="29">
        <v>84</v>
      </c>
    </row>
    <row r="21" spans="1:26" ht="15" thickBot="1" x14ac:dyDescent="0.4">
      <c r="A21" s="21" t="s">
        <v>25</v>
      </c>
      <c r="B21" s="63">
        <v>548203.5</v>
      </c>
      <c r="C21" s="64"/>
      <c r="D21" s="65"/>
      <c r="F21" s="2">
        <v>19</v>
      </c>
      <c r="G21" s="32" t="s">
        <v>22</v>
      </c>
      <c r="H21" s="29">
        <v>0</v>
      </c>
      <c r="I21" s="29">
        <v>37</v>
      </c>
      <c r="J21" s="29">
        <v>333</v>
      </c>
      <c r="K21" s="29">
        <v>0</v>
      </c>
      <c r="L21" s="33" t="s">
        <v>22</v>
      </c>
      <c r="M21" s="32" t="s">
        <v>22</v>
      </c>
      <c r="N21" s="29">
        <v>0</v>
      </c>
      <c r="O21" s="29">
        <v>47</v>
      </c>
      <c r="P21" s="29">
        <v>564</v>
      </c>
      <c r="Q21" s="29">
        <v>24</v>
      </c>
      <c r="R21" s="33" t="s">
        <v>23</v>
      </c>
      <c r="S21" s="32" t="s">
        <v>23</v>
      </c>
      <c r="T21" s="29">
        <v>32</v>
      </c>
      <c r="U21" s="29">
        <v>32</v>
      </c>
      <c r="V21" s="29">
        <v>576</v>
      </c>
      <c r="W21" s="29">
        <v>16</v>
      </c>
      <c r="X21" s="33" t="s">
        <v>23</v>
      </c>
      <c r="Y21" s="29">
        <v>1473</v>
      </c>
      <c r="Z21" s="29">
        <v>40</v>
      </c>
    </row>
    <row r="22" spans="1:26" ht="15" thickBot="1" x14ac:dyDescent="0.4">
      <c r="A22" s="22" t="s">
        <v>20</v>
      </c>
      <c r="B22" s="54">
        <v>0</v>
      </c>
      <c r="C22" s="55"/>
      <c r="D22" s="56"/>
      <c r="F22" s="2">
        <v>20</v>
      </c>
      <c r="G22" s="32" t="s">
        <v>23</v>
      </c>
      <c r="H22" s="29">
        <v>148</v>
      </c>
      <c r="I22" s="29">
        <v>148</v>
      </c>
      <c r="J22" s="29">
        <v>1332</v>
      </c>
      <c r="K22" s="29">
        <v>111</v>
      </c>
      <c r="L22" s="33" t="s">
        <v>22</v>
      </c>
      <c r="M22" s="32" t="s">
        <v>22</v>
      </c>
      <c r="N22" s="29">
        <v>0</v>
      </c>
      <c r="O22" s="29">
        <v>24</v>
      </c>
      <c r="P22" s="29">
        <v>288</v>
      </c>
      <c r="Q22" s="29">
        <v>1</v>
      </c>
      <c r="R22" s="33" t="s">
        <v>22</v>
      </c>
      <c r="S22" s="32" t="s">
        <v>22</v>
      </c>
      <c r="T22" s="29">
        <v>0</v>
      </c>
      <c r="U22" s="29">
        <v>16</v>
      </c>
      <c r="V22" s="29">
        <v>288</v>
      </c>
      <c r="W22" s="29">
        <v>0</v>
      </c>
      <c r="X22" s="33" t="s">
        <v>22</v>
      </c>
      <c r="Y22" s="29">
        <v>1908</v>
      </c>
      <c r="Z22" s="29">
        <v>112</v>
      </c>
    </row>
    <row r="23" spans="1:26" x14ac:dyDescent="0.35">
      <c r="A23" s="46"/>
      <c r="F23" s="2">
        <v>21</v>
      </c>
      <c r="G23" s="32" t="s">
        <v>22</v>
      </c>
      <c r="H23" s="29">
        <v>0</v>
      </c>
      <c r="I23" s="29">
        <v>111</v>
      </c>
      <c r="J23" s="29">
        <v>999</v>
      </c>
      <c r="K23" s="29">
        <v>74</v>
      </c>
      <c r="L23" s="33" t="s">
        <v>23</v>
      </c>
      <c r="M23" s="32" t="s">
        <v>23</v>
      </c>
      <c r="N23" s="29">
        <v>69</v>
      </c>
      <c r="O23" s="29">
        <v>70</v>
      </c>
      <c r="P23" s="29">
        <v>840</v>
      </c>
      <c r="Q23" s="29">
        <v>47</v>
      </c>
      <c r="R23" s="33" t="s">
        <v>22</v>
      </c>
      <c r="S23" s="32" t="s">
        <v>23</v>
      </c>
      <c r="T23" s="29">
        <v>32</v>
      </c>
      <c r="U23" s="29">
        <v>32</v>
      </c>
      <c r="V23" s="29">
        <v>576</v>
      </c>
      <c r="W23" s="29">
        <v>16</v>
      </c>
      <c r="X23" s="33" t="s">
        <v>23</v>
      </c>
      <c r="Y23" s="29">
        <v>2415</v>
      </c>
      <c r="Z23" s="29">
        <v>137</v>
      </c>
    </row>
    <row r="24" spans="1:26" x14ac:dyDescent="0.35">
      <c r="A24" s="38" t="s">
        <v>9</v>
      </c>
      <c r="B24" s="30" t="s">
        <v>43</v>
      </c>
      <c r="C24" s="30" t="s">
        <v>42</v>
      </c>
      <c r="D24" s="30" t="s">
        <v>47</v>
      </c>
      <c r="F24" s="2">
        <v>22</v>
      </c>
      <c r="G24" s="32" t="s">
        <v>22</v>
      </c>
      <c r="H24" s="29">
        <v>0</v>
      </c>
      <c r="I24" s="29">
        <v>74</v>
      </c>
      <c r="J24" s="29">
        <v>666</v>
      </c>
      <c r="K24" s="29">
        <v>37</v>
      </c>
      <c r="L24" s="33" t="s">
        <v>22</v>
      </c>
      <c r="M24" s="32" t="s">
        <v>22</v>
      </c>
      <c r="N24" s="29">
        <v>0</v>
      </c>
      <c r="O24" s="29">
        <v>47</v>
      </c>
      <c r="P24" s="29">
        <v>564</v>
      </c>
      <c r="Q24" s="29">
        <v>24</v>
      </c>
      <c r="R24" s="33" t="s">
        <v>23</v>
      </c>
      <c r="S24" s="32" t="s">
        <v>22</v>
      </c>
      <c r="T24" s="29">
        <v>0</v>
      </c>
      <c r="U24" s="29">
        <v>16</v>
      </c>
      <c r="V24" s="29">
        <v>288</v>
      </c>
      <c r="W24" s="29">
        <v>0</v>
      </c>
      <c r="X24" s="33" t="s">
        <v>22</v>
      </c>
      <c r="Y24" s="29">
        <v>1518</v>
      </c>
      <c r="Z24" s="29">
        <v>61</v>
      </c>
    </row>
    <row r="25" spans="1:26" x14ac:dyDescent="0.35">
      <c r="A25" s="38" t="s">
        <v>44</v>
      </c>
      <c r="B25" s="29" t="s">
        <v>48</v>
      </c>
      <c r="C25" s="29" t="s">
        <v>49</v>
      </c>
      <c r="D25" s="29" t="s">
        <v>48</v>
      </c>
      <c r="F25" s="2">
        <v>23</v>
      </c>
      <c r="G25" s="32" t="s">
        <v>22</v>
      </c>
      <c r="H25" s="29">
        <v>0</v>
      </c>
      <c r="I25" s="29">
        <v>37</v>
      </c>
      <c r="J25" s="29">
        <v>333</v>
      </c>
      <c r="K25" s="29">
        <v>0</v>
      </c>
      <c r="L25" s="33" t="s">
        <v>22</v>
      </c>
      <c r="M25" s="32" t="s">
        <v>22</v>
      </c>
      <c r="N25" s="29">
        <v>0</v>
      </c>
      <c r="O25" s="29">
        <v>24</v>
      </c>
      <c r="P25" s="29">
        <v>288</v>
      </c>
      <c r="Q25" s="29">
        <v>1</v>
      </c>
      <c r="R25" s="33" t="s">
        <v>22</v>
      </c>
      <c r="S25" s="32" t="s">
        <v>23</v>
      </c>
      <c r="T25" s="29">
        <v>32</v>
      </c>
      <c r="U25" s="29">
        <v>32</v>
      </c>
      <c r="V25" s="29">
        <v>576</v>
      </c>
      <c r="W25" s="29">
        <v>16</v>
      </c>
      <c r="X25" s="33" t="s">
        <v>23</v>
      </c>
      <c r="Y25" s="29">
        <v>1197</v>
      </c>
      <c r="Z25" s="29">
        <v>17</v>
      </c>
    </row>
    <row r="26" spans="1:26" x14ac:dyDescent="0.35">
      <c r="A26" s="38"/>
      <c r="F26" s="2">
        <v>24</v>
      </c>
      <c r="G26" s="32" t="s">
        <v>23</v>
      </c>
      <c r="H26" s="29">
        <v>148</v>
      </c>
      <c r="I26" s="29">
        <v>148</v>
      </c>
      <c r="J26" s="29">
        <v>1332</v>
      </c>
      <c r="K26" s="29">
        <v>111</v>
      </c>
      <c r="L26" s="33" t="s">
        <v>22</v>
      </c>
      <c r="M26" s="32" t="s">
        <v>23</v>
      </c>
      <c r="N26" s="29">
        <v>69</v>
      </c>
      <c r="O26" s="29">
        <v>70</v>
      </c>
      <c r="P26" s="29">
        <v>840</v>
      </c>
      <c r="Q26" s="29">
        <v>47</v>
      </c>
      <c r="R26" s="33" t="s">
        <v>22</v>
      </c>
      <c r="S26" s="32" t="s">
        <v>22</v>
      </c>
      <c r="T26" s="29">
        <v>0</v>
      </c>
      <c r="U26" s="29">
        <v>16</v>
      </c>
      <c r="V26" s="29">
        <v>288</v>
      </c>
      <c r="W26" s="29">
        <v>0</v>
      </c>
      <c r="X26" s="33" t="s">
        <v>22</v>
      </c>
      <c r="Y26" s="29">
        <v>2460</v>
      </c>
      <c r="Z26" s="29">
        <v>158</v>
      </c>
    </row>
    <row r="27" spans="1:26" x14ac:dyDescent="0.35">
      <c r="A27" s="38"/>
      <c r="F27" s="2">
        <v>25</v>
      </c>
      <c r="G27" s="32" t="s">
        <v>22</v>
      </c>
      <c r="H27" s="29">
        <v>0</v>
      </c>
      <c r="I27" s="29">
        <v>111</v>
      </c>
      <c r="J27" s="29">
        <v>999</v>
      </c>
      <c r="K27" s="29">
        <v>74</v>
      </c>
      <c r="L27" s="33" t="s">
        <v>23</v>
      </c>
      <c r="M27" s="32" t="s">
        <v>22</v>
      </c>
      <c r="N27" s="29">
        <v>0</v>
      </c>
      <c r="O27" s="29">
        <v>47</v>
      </c>
      <c r="P27" s="29">
        <v>564</v>
      </c>
      <c r="Q27" s="29">
        <v>24</v>
      </c>
      <c r="R27" s="33" t="s">
        <v>23</v>
      </c>
      <c r="S27" s="32" t="s">
        <v>23</v>
      </c>
      <c r="T27" s="29">
        <v>32</v>
      </c>
      <c r="U27" s="29">
        <v>32</v>
      </c>
      <c r="V27" s="29">
        <v>576</v>
      </c>
      <c r="W27" s="29">
        <v>16</v>
      </c>
      <c r="X27" s="33" t="s">
        <v>23</v>
      </c>
      <c r="Y27" s="29">
        <v>2139</v>
      </c>
      <c r="Z27" s="29">
        <v>114</v>
      </c>
    </row>
    <row r="28" spans="1:26" x14ac:dyDescent="0.35">
      <c r="A28" s="13" t="s">
        <v>38</v>
      </c>
      <c r="B28" s="30">
        <v>172</v>
      </c>
      <c r="C28" s="30">
        <v>63</v>
      </c>
      <c r="D28" s="30">
        <v>61</v>
      </c>
      <c r="F28" s="2">
        <v>26</v>
      </c>
      <c r="G28" s="32" t="s">
        <v>22</v>
      </c>
      <c r="H28" s="29">
        <v>0</v>
      </c>
      <c r="I28" s="29">
        <v>74</v>
      </c>
      <c r="J28" s="29">
        <v>666</v>
      </c>
      <c r="K28" s="29">
        <v>37</v>
      </c>
      <c r="L28" s="33" t="s">
        <v>22</v>
      </c>
      <c r="M28" s="32" t="s">
        <v>22</v>
      </c>
      <c r="N28" s="29">
        <v>0</v>
      </c>
      <c r="O28" s="29">
        <v>24</v>
      </c>
      <c r="P28" s="29">
        <v>288</v>
      </c>
      <c r="Q28" s="29">
        <v>1</v>
      </c>
      <c r="R28" s="33" t="s">
        <v>22</v>
      </c>
      <c r="S28" s="32" t="s">
        <v>22</v>
      </c>
      <c r="T28" s="29">
        <v>0</v>
      </c>
      <c r="U28" s="29">
        <v>16</v>
      </c>
      <c r="V28" s="29">
        <v>288</v>
      </c>
      <c r="W28" s="29">
        <v>0</v>
      </c>
      <c r="X28" s="33" t="s">
        <v>22</v>
      </c>
      <c r="Y28" s="29">
        <v>1242</v>
      </c>
      <c r="Z28" s="29">
        <v>38</v>
      </c>
    </row>
    <row r="29" spans="1:26" x14ac:dyDescent="0.35">
      <c r="A29" s="39" t="s">
        <v>39</v>
      </c>
      <c r="B29" s="40">
        <v>74</v>
      </c>
      <c r="C29" s="40">
        <v>23</v>
      </c>
      <c r="D29" s="40">
        <v>16</v>
      </c>
      <c r="F29" s="2">
        <v>27</v>
      </c>
      <c r="G29" s="32" t="s">
        <v>22</v>
      </c>
      <c r="H29" s="29">
        <v>0</v>
      </c>
      <c r="I29" s="29">
        <v>37</v>
      </c>
      <c r="J29" s="29">
        <v>333</v>
      </c>
      <c r="K29" s="29">
        <v>0</v>
      </c>
      <c r="L29" s="33" t="s">
        <v>22</v>
      </c>
      <c r="M29" s="32" t="s">
        <v>23</v>
      </c>
      <c r="N29" s="29">
        <v>69</v>
      </c>
      <c r="O29" s="29">
        <v>70</v>
      </c>
      <c r="P29" s="29">
        <v>840</v>
      </c>
      <c r="Q29" s="29">
        <v>47</v>
      </c>
      <c r="R29" s="33" t="s">
        <v>22</v>
      </c>
      <c r="S29" s="32" t="s">
        <v>23</v>
      </c>
      <c r="T29" s="29">
        <v>32</v>
      </c>
      <c r="U29" s="29">
        <v>32</v>
      </c>
      <c r="V29" s="29">
        <v>576</v>
      </c>
      <c r="W29" s="29">
        <v>16</v>
      </c>
      <c r="X29" s="33" t="s">
        <v>23</v>
      </c>
      <c r="Y29" s="29">
        <v>1749</v>
      </c>
      <c r="Z29" s="29">
        <v>63</v>
      </c>
    </row>
    <row r="30" spans="1:26" x14ac:dyDescent="0.35">
      <c r="A30" s="38" t="s">
        <v>35</v>
      </c>
      <c r="B30" s="30">
        <f t="shared" ref="B30:D31" si="0">B3</f>
        <v>148</v>
      </c>
      <c r="C30" s="30">
        <f t="shared" si="0"/>
        <v>69</v>
      </c>
      <c r="D30" s="30">
        <f t="shared" si="0"/>
        <v>32</v>
      </c>
      <c r="F30" s="2">
        <v>28</v>
      </c>
      <c r="G30" s="32" t="s">
        <v>23</v>
      </c>
      <c r="H30" s="29">
        <v>148</v>
      </c>
      <c r="I30" s="29">
        <v>148</v>
      </c>
      <c r="J30" s="29">
        <v>1332</v>
      </c>
      <c r="K30" s="29">
        <v>111</v>
      </c>
      <c r="L30" s="33" t="s">
        <v>22</v>
      </c>
      <c r="M30" s="32" t="s">
        <v>22</v>
      </c>
      <c r="N30" s="29">
        <v>0</v>
      </c>
      <c r="O30" s="29">
        <v>47</v>
      </c>
      <c r="P30" s="29">
        <v>564</v>
      </c>
      <c r="Q30" s="29">
        <v>24</v>
      </c>
      <c r="R30" s="33" t="s">
        <v>23</v>
      </c>
      <c r="S30" s="32" t="s">
        <v>22</v>
      </c>
      <c r="T30" s="29">
        <v>0</v>
      </c>
      <c r="U30" s="29">
        <v>16</v>
      </c>
      <c r="V30" s="29">
        <v>288</v>
      </c>
      <c r="W30" s="29">
        <v>0</v>
      </c>
      <c r="X30" s="33" t="s">
        <v>22</v>
      </c>
      <c r="Y30" s="29">
        <v>2184</v>
      </c>
      <c r="Z30" s="29">
        <v>135</v>
      </c>
    </row>
    <row r="31" spans="1:26" x14ac:dyDescent="0.35">
      <c r="A31" s="39" t="s">
        <v>36</v>
      </c>
      <c r="B31" s="40">
        <f t="shared" si="0"/>
        <v>74</v>
      </c>
      <c r="C31" s="40">
        <f t="shared" si="0"/>
        <v>24</v>
      </c>
      <c r="D31" s="40">
        <f t="shared" si="0"/>
        <v>16</v>
      </c>
      <c r="F31" s="2">
        <v>29</v>
      </c>
      <c r="G31" s="32" t="s">
        <v>22</v>
      </c>
      <c r="H31" s="29">
        <v>0</v>
      </c>
      <c r="I31" s="29">
        <v>111</v>
      </c>
      <c r="J31" s="29">
        <v>999</v>
      </c>
      <c r="K31" s="29">
        <v>74</v>
      </c>
      <c r="L31" s="33" t="s">
        <v>23</v>
      </c>
      <c r="M31" s="32" t="s">
        <v>22</v>
      </c>
      <c r="N31" s="29">
        <v>0</v>
      </c>
      <c r="O31" s="29">
        <v>24</v>
      </c>
      <c r="P31" s="29">
        <v>288</v>
      </c>
      <c r="Q31" s="29">
        <v>1</v>
      </c>
      <c r="R31" s="33" t="s">
        <v>22</v>
      </c>
      <c r="S31" s="32" t="s">
        <v>23</v>
      </c>
      <c r="T31" s="29">
        <v>32</v>
      </c>
      <c r="U31" s="29">
        <v>32</v>
      </c>
      <c r="V31" s="29">
        <v>576</v>
      </c>
      <c r="W31" s="29">
        <v>16</v>
      </c>
      <c r="X31" s="33" t="s">
        <v>23</v>
      </c>
      <c r="Y31" s="29">
        <v>1863</v>
      </c>
      <c r="Z31" s="29">
        <v>91</v>
      </c>
    </row>
    <row r="32" spans="1:26" x14ac:dyDescent="0.35">
      <c r="A32" s="38" t="s">
        <v>45</v>
      </c>
      <c r="B32" s="47">
        <f>B22-13</f>
        <v>-13</v>
      </c>
      <c r="E32" s="30"/>
      <c r="F32" s="2">
        <v>30</v>
      </c>
      <c r="G32" s="32" t="s">
        <v>22</v>
      </c>
      <c r="H32" s="29">
        <v>0</v>
      </c>
      <c r="I32" s="29">
        <v>74</v>
      </c>
      <c r="J32" s="29">
        <v>666</v>
      </c>
      <c r="K32" s="29">
        <v>37</v>
      </c>
      <c r="L32" s="33" t="s">
        <v>22</v>
      </c>
      <c r="M32" s="32" t="s">
        <v>23</v>
      </c>
      <c r="N32" s="29">
        <v>69</v>
      </c>
      <c r="O32" s="29">
        <v>70</v>
      </c>
      <c r="P32" s="29">
        <v>840</v>
      </c>
      <c r="Q32" s="29">
        <v>47</v>
      </c>
      <c r="R32" s="33" t="s">
        <v>22</v>
      </c>
      <c r="S32" s="32" t="s">
        <v>22</v>
      </c>
      <c r="T32" s="29">
        <v>0</v>
      </c>
      <c r="U32" s="29">
        <v>16</v>
      </c>
      <c r="V32" s="29">
        <v>288</v>
      </c>
      <c r="W32" s="29">
        <v>0</v>
      </c>
      <c r="X32" s="33" t="s">
        <v>22</v>
      </c>
      <c r="Y32" s="29">
        <v>1794</v>
      </c>
      <c r="Z32" s="29">
        <v>84</v>
      </c>
    </row>
    <row r="33" spans="1:26" x14ac:dyDescent="0.35">
      <c r="A33" s="38" t="s">
        <v>46</v>
      </c>
      <c r="B33" s="45">
        <f>B21-507911.75</f>
        <v>40291.75</v>
      </c>
      <c r="F33" s="2">
        <v>31</v>
      </c>
      <c r="G33" s="32" t="s">
        <v>22</v>
      </c>
      <c r="H33" s="29">
        <v>0</v>
      </c>
      <c r="I33" s="29">
        <v>37</v>
      </c>
      <c r="J33" s="29">
        <v>333</v>
      </c>
      <c r="K33" s="29">
        <v>0</v>
      </c>
      <c r="L33" s="33" t="s">
        <v>22</v>
      </c>
      <c r="M33" s="32" t="s">
        <v>22</v>
      </c>
      <c r="N33" s="29">
        <v>0</v>
      </c>
      <c r="O33" s="29">
        <v>47</v>
      </c>
      <c r="P33" s="29">
        <v>564</v>
      </c>
      <c r="Q33" s="29">
        <v>24</v>
      </c>
      <c r="R33" s="33" t="s">
        <v>23</v>
      </c>
      <c r="S33" s="32" t="s">
        <v>23</v>
      </c>
      <c r="T33" s="29">
        <v>32</v>
      </c>
      <c r="U33" s="29">
        <v>32</v>
      </c>
      <c r="V33" s="29">
        <v>576</v>
      </c>
      <c r="W33" s="29">
        <v>16</v>
      </c>
      <c r="X33" s="33" t="s">
        <v>23</v>
      </c>
      <c r="Y33" s="29">
        <v>1473</v>
      </c>
      <c r="Z33" s="29">
        <v>40</v>
      </c>
    </row>
    <row r="34" spans="1:26" x14ac:dyDescent="0.35">
      <c r="F34" s="2">
        <v>32</v>
      </c>
      <c r="G34" s="32" t="s">
        <v>23</v>
      </c>
      <c r="H34" s="29">
        <v>148</v>
      </c>
      <c r="I34" s="29">
        <v>148</v>
      </c>
      <c r="J34" s="29">
        <v>1332</v>
      </c>
      <c r="K34" s="29">
        <v>111</v>
      </c>
      <c r="L34" s="33" t="s">
        <v>22</v>
      </c>
      <c r="M34" s="32" t="s">
        <v>22</v>
      </c>
      <c r="N34" s="29">
        <v>0</v>
      </c>
      <c r="O34" s="29">
        <v>24</v>
      </c>
      <c r="P34" s="29">
        <v>288</v>
      </c>
      <c r="Q34" s="29">
        <v>1</v>
      </c>
      <c r="R34" s="33" t="s">
        <v>22</v>
      </c>
      <c r="S34" s="32" t="s">
        <v>22</v>
      </c>
      <c r="T34" s="29">
        <v>0</v>
      </c>
      <c r="U34" s="29">
        <v>16</v>
      </c>
      <c r="V34" s="29">
        <v>288</v>
      </c>
      <c r="W34" s="29">
        <v>0</v>
      </c>
      <c r="X34" s="33" t="s">
        <v>22</v>
      </c>
      <c r="Y34" s="29">
        <v>1908</v>
      </c>
      <c r="Z34" s="29">
        <v>112</v>
      </c>
    </row>
    <row r="35" spans="1:26" x14ac:dyDescent="0.35">
      <c r="A35" s="38" t="s">
        <v>40</v>
      </c>
      <c r="B35" s="41"/>
      <c r="F35" s="2">
        <v>33</v>
      </c>
      <c r="G35" s="32" t="s">
        <v>22</v>
      </c>
      <c r="H35" s="29">
        <v>0</v>
      </c>
      <c r="I35" s="29">
        <v>111</v>
      </c>
      <c r="J35" s="29">
        <v>999</v>
      </c>
      <c r="K35" s="29">
        <v>74</v>
      </c>
      <c r="L35" s="33" t="s">
        <v>23</v>
      </c>
      <c r="M35" s="32" t="s">
        <v>23</v>
      </c>
      <c r="N35" s="29">
        <v>69</v>
      </c>
      <c r="O35" s="29">
        <v>70</v>
      </c>
      <c r="P35" s="29">
        <v>840</v>
      </c>
      <c r="Q35" s="29">
        <v>47</v>
      </c>
      <c r="R35" s="33" t="s">
        <v>22</v>
      </c>
      <c r="S35" s="32" t="s">
        <v>23</v>
      </c>
      <c r="T35" s="29">
        <v>32</v>
      </c>
      <c r="U35" s="29">
        <v>32</v>
      </c>
      <c r="V35" s="29">
        <v>576</v>
      </c>
      <c r="W35" s="29">
        <v>16</v>
      </c>
      <c r="X35" s="33" t="s">
        <v>23</v>
      </c>
      <c r="Y35" s="29">
        <v>2415</v>
      </c>
      <c r="Z35" s="29">
        <v>137</v>
      </c>
    </row>
    <row r="36" spans="1:26" x14ac:dyDescent="0.35">
      <c r="A36" s="38" t="s">
        <v>41</v>
      </c>
      <c r="B36" s="34"/>
      <c r="F36" s="2">
        <v>34</v>
      </c>
      <c r="G36" s="32" t="s">
        <v>22</v>
      </c>
      <c r="H36" s="29">
        <v>0</v>
      </c>
      <c r="I36" s="29">
        <v>74</v>
      </c>
      <c r="J36" s="29">
        <v>666</v>
      </c>
      <c r="K36" s="29">
        <v>37</v>
      </c>
      <c r="L36" s="33" t="s">
        <v>22</v>
      </c>
      <c r="M36" s="32" t="s">
        <v>22</v>
      </c>
      <c r="N36" s="29">
        <v>0</v>
      </c>
      <c r="O36" s="29">
        <v>47</v>
      </c>
      <c r="P36" s="29">
        <v>564</v>
      </c>
      <c r="Q36" s="29">
        <v>24</v>
      </c>
      <c r="R36" s="33" t="s">
        <v>23</v>
      </c>
      <c r="S36" s="32" t="s">
        <v>22</v>
      </c>
      <c r="T36" s="29">
        <v>0</v>
      </c>
      <c r="U36" s="29">
        <v>16</v>
      </c>
      <c r="V36" s="29">
        <v>288</v>
      </c>
      <c r="W36" s="29">
        <v>0</v>
      </c>
      <c r="X36" s="33" t="s">
        <v>22</v>
      </c>
      <c r="Y36" s="29">
        <v>1518</v>
      </c>
      <c r="Z36" s="29">
        <v>61</v>
      </c>
    </row>
    <row r="37" spans="1:26" x14ac:dyDescent="0.35">
      <c r="F37" s="2">
        <v>35</v>
      </c>
      <c r="G37" s="32" t="s">
        <v>22</v>
      </c>
      <c r="H37" s="29">
        <v>0</v>
      </c>
      <c r="I37" s="29">
        <v>37</v>
      </c>
      <c r="J37" s="29">
        <v>333</v>
      </c>
      <c r="K37" s="29">
        <v>0</v>
      </c>
      <c r="L37" s="33" t="s">
        <v>22</v>
      </c>
      <c r="M37" s="32" t="s">
        <v>22</v>
      </c>
      <c r="N37" s="29">
        <v>0</v>
      </c>
      <c r="O37" s="29">
        <v>24</v>
      </c>
      <c r="P37" s="29">
        <v>288</v>
      </c>
      <c r="Q37" s="29">
        <v>1</v>
      </c>
      <c r="R37" s="33" t="s">
        <v>22</v>
      </c>
      <c r="S37" s="32" t="s">
        <v>23</v>
      </c>
      <c r="T37" s="29">
        <v>32</v>
      </c>
      <c r="U37" s="29">
        <v>32</v>
      </c>
      <c r="V37" s="29">
        <v>576</v>
      </c>
      <c r="W37" s="29">
        <v>16</v>
      </c>
      <c r="X37" s="33" t="s">
        <v>23</v>
      </c>
      <c r="Y37" s="29">
        <v>1197</v>
      </c>
      <c r="Z37" s="29">
        <v>17</v>
      </c>
    </row>
    <row r="38" spans="1:26" x14ac:dyDescent="0.35">
      <c r="F38" s="2">
        <v>36</v>
      </c>
      <c r="G38" s="32" t="s">
        <v>23</v>
      </c>
      <c r="H38" s="29">
        <v>148</v>
      </c>
      <c r="I38" s="29">
        <v>148</v>
      </c>
      <c r="J38" s="29">
        <v>1332</v>
      </c>
      <c r="K38" s="29">
        <v>111</v>
      </c>
      <c r="L38" s="33" t="s">
        <v>22</v>
      </c>
      <c r="M38" s="32" t="s">
        <v>23</v>
      </c>
      <c r="N38" s="29">
        <v>69</v>
      </c>
      <c r="O38" s="29">
        <v>70</v>
      </c>
      <c r="P38" s="29">
        <v>840</v>
      </c>
      <c r="Q38" s="29">
        <v>47</v>
      </c>
      <c r="R38" s="33" t="s">
        <v>22</v>
      </c>
      <c r="S38" s="32" t="s">
        <v>22</v>
      </c>
      <c r="T38" s="29">
        <v>0</v>
      </c>
      <c r="U38" s="29">
        <v>16</v>
      </c>
      <c r="V38" s="29">
        <v>288</v>
      </c>
      <c r="W38" s="29">
        <v>0</v>
      </c>
      <c r="X38" s="33" t="s">
        <v>22</v>
      </c>
      <c r="Y38" s="29">
        <v>2460</v>
      </c>
      <c r="Z38" s="29">
        <v>158</v>
      </c>
    </row>
    <row r="39" spans="1:26" x14ac:dyDescent="0.35">
      <c r="F39" s="2">
        <v>37</v>
      </c>
      <c r="G39" s="32" t="s">
        <v>22</v>
      </c>
      <c r="H39" s="29">
        <v>0</v>
      </c>
      <c r="I39" s="29">
        <v>111</v>
      </c>
      <c r="J39" s="29">
        <v>999</v>
      </c>
      <c r="K39" s="29">
        <v>74</v>
      </c>
      <c r="L39" s="33" t="s">
        <v>23</v>
      </c>
      <c r="M39" s="32" t="s">
        <v>22</v>
      </c>
      <c r="N39" s="29">
        <v>0</v>
      </c>
      <c r="O39" s="29">
        <v>47</v>
      </c>
      <c r="P39" s="29">
        <v>564</v>
      </c>
      <c r="Q39" s="29">
        <v>24</v>
      </c>
      <c r="R39" s="33" t="s">
        <v>23</v>
      </c>
      <c r="S39" s="32" t="s">
        <v>23</v>
      </c>
      <c r="T39" s="29">
        <v>32</v>
      </c>
      <c r="U39" s="29">
        <v>32</v>
      </c>
      <c r="V39" s="29">
        <v>576</v>
      </c>
      <c r="W39" s="29">
        <v>16</v>
      </c>
      <c r="X39" s="33" t="s">
        <v>23</v>
      </c>
      <c r="Y39" s="29">
        <v>2139</v>
      </c>
      <c r="Z39" s="29">
        <v>114</v>
      </c>
    </row>
    <row r="40" spans="1:26" x14ac:dyDescent="0.35">
      <c r="F40" s="2">
        <v>38</v>
      </c>
      <c r="G40" s="32" t="s">
        <v>22</v>
      </c>
      <c r="H40" s="29">
        <v>0</v>
      </c>
      <c r="I40" s="29">
        <v>74</v>
      </c>
      <c r="J40" s="29">
        <v>666</v>
      </c>
      <c r="K40" s="29">
        <v>37</v>
      </c>
      <c r="L40" s="33" t="s">
        <v>22</v>
      </c>
      <c r="M40" s="32" t="s">
        <v>22</v>
      </c>
      <c r="N40" s="29">
        <v>0</v>
      </c>
      <c r="O40" s="29">
        <v>24</v>
      </c>
      <c r="P40" s="29">
        <v>288</v>
      </c>
      <c r="Q40" s="29">
        <v>1</v>
      </c>
      <c r="R40" s="33" t="s">
        <v>22</v>
      </c>
      <c r="S40" s="32" t="s">
        <v>22</v>
      </c>
      <c r="T40" s="29">
        <v>0</v>
      </c>
      <c r="U40" s="29">
        <v>16</v>
      </c>
      <c r="V40" s="29">
        <v>288</v>
      </c>
      <c r="W40" s="29">
        <v>0</v>
      </c>
      <c r="X40" s="33" t="s">
        <v>22</v>
      </c>
      <c r="Y40" s="29">
        <v>1242</v>
      </c>
      <c r="Z40" s="29">
        <v>38</v>
      </c>
    </row>
    <row r="41" spans="1:26" x14ac:dyDescent="0.35">
      <c r="F41" s="2">
        <v>39</v>
      </c>
      <c r="G41" s="32" t="s">
        <v>22</v>
      </c>
      <c r="H41" s="29">
        <v>0</v>
      </c>
      <c r="I41" s="29">
        <v>37</v>
      </c>
      <c r="J41" s="29">
        <v>333</v>
      </c>
      <c r="K41" s="29">
        <v>0</v>
      </c>
      <c r="L41" s="33" t="s">
        <v>22</v>
      </c>
      <c r="M41" s="32" t="s">
        <v>23</v>
      </c>
      <c r="N41" s="29">
        <v>69</v>
      </c>
      <c r="O41" s="29">
        <v>70</v>
      </c>
      <c r="P41" s="29">
        <v>840</v>
      </c>
      <c r="Q41" s="29">
        <v>47</v>
      </c>
      <c r="R41" s="33" t="s">
        <v>22</v>
      </c>
      <c r="S41" s="32" t="s">
        <v>23</v>
      </c>
      <c r="T41" s="29">
        <v>32</v>
      </c>
      <c r="U41" s="29">
        <v>32</v>
      </c>
      <c r="V41" s="29">
        <v>576</v>
      </c>
      <c r="W41" s="29">
        <v>16</v>
      </c>
      <c r="X41" s="33" t="s">
        <v>23</v>
      </c>
      <c r="Y41" s="29">
        <v>1749</v>
      </c>
      <c r="Z41" s="29">
        <v>63</v>
      </c>
    </row>
    <row r="42" spans="1:26" x14ac:dyDescent="0.35">
      <c r="F42" s="2">
        <v>40</v>
      </c>
      <c r="G42" s="32" t="s">
        <v>23</v>
      </c>
      <c r="H42" s="29">
        <v>148</v>
      </c>
      <c r="I42" s="29">
        <v>148</v>
      </c>
      <c r="J42" s="29">
        <v>1332</v>
      </c>
      <c r="K42" s="29">
        <v>111</v>
      </c>
      <c r="L42" s="33" t="s">
        <v>22</v>
      </c>
      <c r="M42" s="32" t="s">
        <v>22</v>
      </c>
      <c r="N42" s="29">
        <v>0</v>
      </c>
      <c r="O42" s="29">
        <v>47</v>
      </c>
      <c r="P42" s="29">
        <v>564</v>
      </c>
      <c r="Q42" s="29">
        <v>24</v>
      </c>
      <c r="R42" s="33" t="s">
        <v>23</v>
      </c>
      <c r="S42" s="32" t="s">
        <v>22</v>
      </c>
      <c r="T42" s="29">
        <v>0</v>
      </c>
      <c r="U42" s="29">
        <v>16</v>
      </c>
      <c r="V42" s="29">
        <v>288</v>
      </c>
      <c r="W42" s="29">
        <v>0</v>
      </c>
      <c r="X42" s="33" t="s">
        <v>22</v>
      </c>
      <c r="Y42" s="29">
        <v>2184</v>
      </c>
      <c r="Z42" s="29">
        <v>135</v>
      </c>
    </row>
    <row r="43" spans="1:26" x14ac:dyDescent="0.35">
      <c r="F43" s="2">
        <v>41</v>
      </c>
      <c r="G43" s="32" t="s">
        <v>22</v>
      </c>
      <c r="H43" s="29">
        <v>0</v>
      </c>
      <c r="I43" s="29">
        <v>111</v>
      </c>
      <c r="J43" s="29">
        <v>999</v>
      </c>
      <c r="K43" s="29">
        <v>74</v>
      </c>
      <c r="L43" s="33" t="s">
        <v>23</v>
      </c>
      <c r="M43" s="32" t="s">
        <v>22</v>
      </c>
      <c r="N43" s="29">
        <v>0</v>
      </c>
      <c r="O43" s="29">
        <v>24</v>
      </c>
      <c r="P43" s="29">
        <v>288</v>
      </c>
      <c r="Q43" s="29">
        <v>1</v>
      </c>
      <c r="R43" s="33" t="s">
        <v>22</v>
      </c>
      <c r="S43" s="32" t="s">
        <v>23</v>
      </c>
      <c r="T43" s="29">
        <v>32</v>
      </c>
      <c r="U43" s="29">
        <v>32</v>
      </c>
      <c r="V43" s="29">
        <v>576</v>
      </c>
      <c r="W43" s="29">
        <v>16</v>
      </c>
      <c r="X43" s="33" t="s">
        <v>23</v>
      </c>
      <c r="Y43" s="29">
        <v>1863</v>
      </c>
      <c r="Z43" s="29">
        <v>91</v>
      </c>
    </row>
    <row r="44" spans="1:26" x14ac:dyDescent="0.35">
      <c r="F44" s="2">
        <v>42</v>
      </c>
      <c r="G44" s="32" t="s">
        <v>22</v>
      </c>
      <c r="H44" s="29">
        <v>0</v>
      </c>
      <c r="I44" s="29">
        <v>74</v>
      </c>
      <c r="J44" s="29">
        <v>666</v>
      </c>
      <c r="K44" s="29">
        <v>37</v>
      </c>
      <c r="L44" s="33" t="s">
        <v>22</v>
      </c>
      <c r="M44" s="32" t="s">
        <v>23</v>
      </c>
      <c r="N44" s="29">
        <v>69</v>
      </c>
      <c r="O44" s="29">
        <v>70</v>
      </c>
      <c r="P44" s="29">
        <v>840</v>
      </c>
      <c r="Q44" s="29">
        <v>47</v>
      </c>
      <c r="R44" s="33" t="s">
        <v>22</v>
      </c>
      <c r="S44" s="32" t="s">
        <v>22</v>
      </c>
      <c r="T44" s="29">
        <v>0</v>
      </c>
      <c r="U44" s="29">
        <v>16</v>
      </c>
      <c r="V44" s="29">
        <v>288</v>
      </c>
      <c r="W44" s="29">
        <v>0</v>
      </c>
      <c r="X44" s="33" t="s">
        <v>22</v>
      </c>
      <c r="Y44" s="29">
        <v>1794</v>
      </c>
      <c r="Z44" s="29">
        <v>84</v>
      </c>
    </row>
    <row r="45" spans="1:26" x14ac:dyDescent="0.35">
      <c r="F45" s="2">
        <v>43</v>
      </c>
      <c r="G45" s="32" t="s">
        <v>22</v>
      </c>
      <c r="H45" s="29">
        <v>0</v>
      </c>
      <c r="I45" s="29">
        <v>37</v>
      </c>
      <c r="J45" s="29">
        <v>333</v>
      </c>
      <c r="K45" s="29">
        <v>0</v>
      </c>
      <c r="L45" s="33" t="s">
        <v>22</v>
      </c>
      <c r="M45" s="32" t="s">
        <v>22</v>
      </c>
      <c r="N45" s="29">
        <v>0</v>
      </c>
      <c r="O45" s="29">
        <v>47</v>
      </c>
      <c r="P45" s="29">
        <v>564</v>
      </c>
      <c r="Q45" s="29">
        <v>24</v>
      </c>
      <c r="R45" s="33" t="s">
        <v>23</v>
      </c>
      <c r="S45" s="32" t="s">
        <v>23</v>
      </c>
      <c r="T45" s="29">
        <v>32</v>
      </c>
      <c r="U45" s="29">
        <v>32</v>
      </c>
      <c r="V45" s="29">
        <v>576</v>
      </c>
      <c r="W45" s="29">
        <v>16</v>
      </c>
      <c r="X45" s="33" t="s">
        <v>23</v>
      </c>
      <c r="Y45" s="29">
        <v>1473</v>
      </c>
      <c r="Z45" s="29">
        <v>40</v>
      </c>
    </row>
    <row r="46" spans="1:26" x14ac:dyDescent="0.35">
      <c r="F46" s="2">
        <v>44</v>
      </c>
      <c r="G46" s="32" t="s">
        <v>23</v>
      </c>
      <c r="H46" s="29">
        <v>148</v>
      </c>
      <c r="I46" s="29">
        <v>148</v>
      </c>
      <c r="J46" s="29">
        <v>1332</v>
      </c>
      <c r="K46" s="29">
        <v>111</v>
      </c>
      <c r="L46" s="33" t="s">
        <v>22</v>
      </c>
      <c r="M46" s="32" t="s">
        <v>22</v>
      </c>
      <c r="N46" s="29">
        <v>0</v>
      </c>
      <c r="O46" s="29">
        <v>24</v>
      </c>
      <c r="P46" s="29">
        <v>288</v>
      </c>
      <c r="Q46" s="29">
        <v>1</v>
      </c>
      <c r="R46" s="33" t="s">
        <v>22</v>
      </c>
      <c r="S46" s="32" t="s">
        <v>22</v>
      </c>
      <c r="T46" s="29">
        <v>0</v>
      </c>
      <c r="U46" s="29">
        <v>16</v>
      </c>
      <c r="V46" s="29">
        <v>288</v>
      </c>
      <c r="W46" s="29">
        <v>0</v>
      </c>
      <c r="X46" s="33" t="s">
        <v>22</v>
      </c>
      <c r="Y46" s="29">
        <v>1908</v>
      </c>
      <c r="Z46" s="29">
        <v>112</v>
      </c>
    </row>
    <row r="47" spans="1:26" x14ac:dyDescent="0.35">
      <c r="F47" s="2">
        <v>45</v>
      </c>
      <c r="G47" s="32" t="s">
        <v>22</v>
      </c>
      <c r="H47" s="29">
        <v>0</v>
      </c>
      <c r="I47" s="29">
        <v>111</v>
      </c>
      <c r="J47" s="29">
        <v>999</v>
      </c>
      <c r="K47" s="29">
        <v>74</v>
      </c>
      <c r="L47" s="33" t="s">
        <v>23</v>
      </c>
      <c r="M47" s="32" t="s">
        <v>23</v>
      </c>
      <c r="N47" s="29">
        <v>69</v>
      </c>
      <c r="O47" s="29">
        <v>70</v>
      </c>
      <c r="P47" s="29">
        <v>840</v>
      </c>
      <c r="Q47" s="29">
        <v>47</v>
      </c>
      <c r="R47" s="33" t="s">
        <v>22</v>
      </c>
      <c r="S47" s="32" t="s">
        <v>23</v>
      </c>
      <c r="T47" s="29">
        <v>32</v>
      </c>
      <c r="U47" s="29">
        <v>32</v>
      </c>
      <c r="V47" s="29">
        <v>576</v>
      </c>
      <c r="W47" s="29">
        <v>16</v>
      </c>
      <c r="X47" s="33" t="s">
        <v>23</v>
      </c>
      <c r="Y47" s="29">
        <v>2415</v>
      </c>
      <c r="Z47" s="29">
        <v>137</v>
      </c>
    </row>
    <row r="48" spans="1:26" x14ac:dyDescent="0.35">
      <c r="F48" s="2">
        <v>46</v>
      </c>
      <c r="G48" s="32" t="s">
        <v>22</v>
      </c>
      <c r="H48" s="29">
        <v>0</v>
      </c>
      <c r="I48" s="29">
        <v>74</v>
      </c>
      <c r="J48" s="29">
        <v>666</v>
      </c>
      <c r="K48" s="29">
        <v>37</v>
      </c>
      <c r="L48" s="33" t="s">
        <v>22</v>
      </c>
      <c r="M48" s="32" t="s">
        <v>22</v>
      </c>
      <c r="N48" s="29">
        <v>0</v>
      </c>
      <c r="O48" s="29">
        <v>47</v>
      </c>
      <c r="P48" s="29">
        <v>564</v>
      </c>
      <c r="Q48" s="29">
        <v>24</v>
      </c>
      <c r="R48" s="33" t="s">
        <v>23</v>
      </c>
      <c r="S48" s="32" t="s">
        <v>22</v>
      </c>
      <c r="T48" s="29">
        <v>0</v>
      </c>
      <c r="U48" s="29">
        <v>16</v>
      </c>
      <c r="V48" s="29">
        <v>288</v>
      </c>
      <c r="W48" s="29">
        <v>0</v>
      </c>
      <c r="X48" s="33" t="s">
        <v>22</v>
      </c>
      <c r="Y48" s="29">
        <v>1518</v>
      </c>
      <c r="Z48" s="29">
        <v>61</v>
      </c>
    </row>
    <row r="49" spans="6:26" x14ac:dyDescent="0.35">
      <c r="F49" s="2">
        <v>47</v>
      </c>
      <c r="G49" s="32" t="s">
        <v>22</v>
      </c>
      <c r="H49" s="29">
        <v>0</v>
      </c>
      <c r="I49" s="29">
        <v>37</v>
      </c>
      <c r="J49" s="29">
        <v>333</v>
      </c>
      <c r="K49" s="29">
        <v>0</v>
      </c>
      <c r="L49" s="33" t="s">
        <v>22</v>
      </c>
      <c r="M49" s="32" t="s">
        <v>22</v>
      </c>
      <c r="N49" s="29">
        <v>0</v>
      </c>
      <c r="O49" s="29">
        <v>24</v>
      </c>
      <c r="P49" s="29">
        <v>288</v>
      </c>
      <c r="Q49" s="29">
        <v>1</v>
      </c>
      <c r="R49" s="33" t="s">
        <v>22</v>
      </c>
      <c r="S49" s="32" t="s">
        <v>23</v>
      </c>
      <c r="T49" s="29">
        <v>32</v>
      </c>
      <c r="U49" s="29">
        <v>32</v>
      </c>
      <c r="V49" s="29">
        <v>576</v>
      </c>
      <c r="W49" s="29">
        <v>16</v>
      </c>
      <c r="X49" s="33" t="s">
        <v>23</v>
      </c>
      <c r="Y49" s="29">
        <v>1197</v>
      </c>
      <c r="Z49" s="29">
        <v>17</v>
      </c>
    </row>
    <row r="50" spans="6:26" x14ac:dyDescent="0.35">
      <c r="F50" s="2">
        <v>48</v>
      </c>
      <c r="G50" s="32" t="s">
        <v>23</v>
      </c>
      <c r="H50" s="29">
        <v>148</v>
      </c>
      <c r="I50" s="29">
        <v>148</v>
      </c>
      <c r="J50" s="29">
        <v>1332</v>
      </c>
      <c r="K50" s="29">
        <v>111</v>
      </c>
      <c r="L50" s="33" t="s">
        <v>22</v>
      </c>
      <c r="M50" s="32" t="s">
        <v>23</v>
      </c>
      <c r="N50" s="29">
        <v>69</v>
      </c>
      <c r="O50" s="29">
        <v>70</v>
      </c>
      <c r="P50" s="29">
        <v>840</v>
      </c>
      <c r="Q50" s="29">
        <v>47</v>
      </c>
      <c r="R50" s="33" t="s">
        <v>22</v>
      </c>
      <c r="S50" s="32" t="s">
        <v>22</v>
      </c>
      <c r="T50" s="29">
        <v>0</v>
      </c>
      <c r="U50" s="29">
        <v>16</v>
      </c>
      <c r="V50" s="29">
        <v>288</v>
      </c>
      <c r="W50" s="29">
        <v>0</v>
      </c>
      <c r="X50" s="33" t="s">
        <v>22</v>
      </c>
      <c r="Y50" s="29">
        <v>2460</v>
      </c>
      <c r="Z50" s="29">
        <v>158</v>
      </c>
    </row>
    <row r="51" spans="6:26" x14ac:dyDescent="0.35">
      <c r="F51" s="2">
        <v>49</v>
      </c>
      <c r="G51" s="32" t="s">
        <v>22</v>
      </c>
      <c r="H51" s="29">
        <v>0</v>
      </c>
      <c r="I51" s="29">
        <v>111</v>
      </c>
      <c r="J51" s="29">
        <v>999</v>
      </c>
      <c r="K51" s="29">
        <v>74</v>
      </c>
      <c r="L51" s="33" t="s">
        <v>23</v>
      </c>
      <c r="M51" s="32" t="s">
        <v>22</v>
      </c>
      <c r="N51" s="29">
        <v>0</v>
      </c>
      <c r="O51" s="29">
        <v>47</v>
      </c>
      <c r="P51" s="29">
        <v>564</v>
      </c>
      <c r="Q51" s="29">
        <v>24</v>
      </c>
      <c r="R51" s="33" t="s">
        <v>23</v>
      </c>
      <c r="S51" s="32" t="s">
        <v>23</v>
      </c>
      <c r="T51" s="29">
        <v>32</v>
      </c>
      <c r="U51" s="29">
        <v>32</v>
      </c>
      <c r="V51" s="29">
        <v>576</v>
      </c>
      <c r="W51" s="29">
        <v>16</v>
      </c>
      <c r="X51" s="33" t="s">
        <v>23</v>
      </c>
      <c r="Y51" s="29">
        <v>2139</v>
      </c>
      <c r="Z51" s="29">
        <v>114</v>
      </c>
    </row>
    <row r="52" spans="6:26" x14ac:dyDescent="0.35">
      <c r="F52" s="2">
        <v>50</v>
      </c>
      <c r="G52" s="32" t="s">
        <v>22</v>
      </c>
      <c r="H52" s="29">
        <v>0</v>
      </c>
      <c r="I52" s="29">
        <v>74</v>
      </c>
      <c r="J52" s="29">
        <v>666</v>
      </c>
      <c r="K52" s="29">
        <v>37</v>
      </c>
      <c r="L52" s="33" t="s">
        <v>22</v>
      </c>
      <c r="M52" s="32" t="s">
        <v>22</v>
      </c>
      <c r="N52" s="29">
        <v>0</v>
      </c>
      <c r="O52" s="29">
        <v>24</v>
      </c>
      <c r="P52" s="29">
        <v>288</v>
      </c>
      <c r="Q52" s="29">
        <v>1</v>
      </c>
      <c r="R52" s="33" t="s">
        <v>22</v>
      </c>
      <c r="S52" s="32" t="s">
        <v>22</v>
      </c>
      <c r="T52" s="29">
        <v>0</v>
      </c>
      <c r="U52" s="29">
        <v>16</v>
      </c>
      <c r="V52" s="29">
        <v>288</v>
      </c>
      <c r="W52" s="29">
        <v>0</v>
      </c>
      <c r="X52" s="33" t="s">
        <v>22</v>
      </c>
      <c r="Y52" s="29">
        <v>1242</v>
      </c>
      <c r="Z52" s="29">
        <v>38</v>
      </c>
    </row>
    <row r="53" spans="6:26" x14ac:dyDescent="0.35">
      <c r="I53" s="30"/>
    </row>
  </sheetData>
  <mergeCells count="8">
    <mergeCell ref="Y1:Y2"/>
    <mergeCell ref="Z1:Z2"/>
    <mergeCell ref="B20:D20"/>
    <mergeCell ref="B21:D21"/>
    <mergeCell ref="B22:D22"/>
    <mergeCell ref="G1:L1"/>
    <mergeCell ref="M1:R1"/>
    <mergeCell ref="S1:X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sim_tool</vt:lpstr>
      <vt:lpstr>Summary</vt:lpstr>
      <vt:lpstr>Base Run</vt:lpstr>
      <vt:lpstr>Run 2</vt:lpstr>
      <vt:lpstr>Run 3</vt:lpstr>
      <vt:lpstr>Run 4</vt:lpstr>
      <vt:lpstr>Run 5</vt:lpstr>
      <vt:lpstr>Run 6</vt:lpstr>
      <vt:lpstr>Run 7</vt:lpstr>
      <vt:lpstr>Run 8</vt:lpstr>
      <vt:lpstr>Run 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Krejci, Caroline</dc:creator>
  <cp:lastModifiedBy>Pankratz, Jasmine C</cp:lastModifiedBy>
  <dcterms:created xsi:type="dcterms:W3CDTF">2025-08-25T18:43:51Z</dcterms:created>
  <dcterms:modified xsi:type="dcterms:W3CDTF">2025-10-23T21:09:42Z</dcterms:modified>
</cp:coreProperties>
</file>